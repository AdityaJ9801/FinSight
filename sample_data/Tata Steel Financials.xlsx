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yushigautam/Downloads/"/>
    </mc:Choice>
  </mc:AlternateContent>
  <xr:revisionPtr revIDLastSave="0" documentId="13_ncr:1_{99BD3F5C-A5FA-2443-8A57-0E75FC890D58}" xr6:coauthVersionLast="47" xr6:coauthVersionMax="47" xr10:uidLastSave="{00000000-0000-0000-0000-000000000000}"/>
  <bookViews>
    <workbookView xWindow="0" yWindow="0" windowWidth="28160" windowHeight="17620" tabRatio="500" activeTab="7" xr2:uid="{00000000-000D-0000-FFFF-FFFF00000000}"/>
  </bookViews>
  <sheets>
    <sheet name="Balance Sheet" sheetId="2" r:id="rId1"/>
    <sheet name="P&amp;L Statement" sheetId="3" r:id="rId2"/>
    <sheet name="Cash Flow Statement" sheetId="4" r:id="rId3"/>
    <sheet name="Debtor Ageing" sheetId="8" r:id="rId4"/>
    <sheet name="Creditor Ageing" sheetId="9" r:id="rId5"/>
    <sheet name="Inventory" sheetId="10" r:id="rId6"/>
    <sheet name="Loan Schedules" sheetId="11" r:id="rId7"/>
    <sheet name="Tax Filings" sheetId="12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12" l="1"/>
  <c r="B11" i="12"/>
</calcChain>
</file>

<file path=xl/sharedStrings.xml><?xml version="1.0" encoding="utf-8"?>
<sst xmlns="http://schemas.openxmlformats.org/spreadsheetml/2006/main" count="529" uniqueCount="400">
  <si>
    <t>As at March 31, 2026 and March 31, 2025  |  (₹ crore)</t>
  </si>
  <si>
    <t>Particulars</t>
  </si>
  <si>
    <t>As at Mar 31, 2026</t>
  </si>
  <si>
    <t>As at Mar 31, 2025</t>
  </si>
  <si>
    <t>ASSETS</t>
  </si>
  <si>
    <t>Non-current assets</t>
  </si>
  <si>
    <t>Property, plant and equipment</t>
  </si>
  <si>
    <t>Capital work-in-progress</t>
  </si>
  <si>
    <t>Right-of-use assets</t>
  </si>
  <si>
    <t>Goodwill</t>
  </si>
  <si>
    <t>Other intangible assets</t>
  </si>
  <si>
    <t>Intangible assets under development</t>
  </si>
  <si>
    <t>Financial assets</t>
  </si>
  <si>
    <t xml:space="preserve">  Investments</t>
  </si>
  <si>
    <t xml:space="preserve">  Loans</t>
  </si>
  <si>
    <t xml:space="preserve">  Derivative assets</t>
  </si>
  <si>
    <t xml:space="preserve">  Other financial assets</t>
  </si>
  <si>
    <t>Retirement benefit assets</t>
  </si>
  <si>
    <t>Non-current tax assets (net)</t>
  </si>
  <si>
    <t>Other assets</t>
  </si>
  <si>
    <t>Total non-current assets</t>
  </si>
  <si>
    <t>Current assets</t>
  </si>
  <si>
    <t>Inventories</t>
  </si>
  <si>
    <t xml:space="preserve">  Trade receivables</t>
  </si>
  <si>
    <t xml:space="preserve">  Cash and cash equivalents</t>
  </si>
  <si>
    <t xml:space="preserve">  Other balances with banks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</si>
  <si>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</si>
  <si>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</si>
  <si>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</si>
  <si>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</si>
  <si>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</si>
  <si>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</si>
  <si>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</si>
  <si>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</si>
  <si>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</si>
  <si>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 xml:space="preserve">  Borrowings</t>
  </si>
  <si>
    <t xml:space="preserve">  Lease liabilities</t>
  </si>
  <si>
    <t xml:space="preserve">  Derivative liabilities</t>
  </si>
  <si>
    <t xml:space="preserve">  Other financial liabilities</t>
  </si>
  <si>
    <t>Provisions</t>
  </si>
  <si>
    <t>Retirement benefit obligations</t>
  </si>
  <si>
    <t>Deferred income</t>
  </si>
  <si>
    <t>Deferred tax liabilities (net)</t>
  </si>
  <si>
    <t>Other liabilities</t>
  </si>
  <si>
    <t>Total non-current liabilities</t>
  </si>
  <si>
    <t>Current liabilities</t>
  </si>
  <si>
    <t xml:space="preserve">  Trade payables — dues of micro &amp; small enterprises</t>
  </si>
  <si>
    <t xml:space="preserve">  Trade payables — dues of other than micro &amp; small enterprises</t>
  </si>
  <si>
    <t xml:space="preserve">  Acceptances</t>
  </si>
  <si>
    <t>Current tax liabilities (net)</t>
  </si>
  <si>
    <t>Total current liabilities</t>
  </si>
  <si>
    <t>Total liabilities</t>
  </si>
  <si>
    <t>TOTAL EQUITY AND LIABILITIES</t>
  </si>
  <si>
    <t>For the year ended March 31, 2026 and March 31, 2025  |  (₹ crore)</t>
  </si>
  <si>
    <t>Year ended Mar 31, 2026</t>
  </si>
  <si>
    <t>Year ended Mar 31, 2025</t>
  </si>
  <si>
    <t>Revenue from operations</t>
  </si>
  <si>
    <t>Other income</t>
  </si>
  <si>
    <t>Total income</t>
  </si>
  <si>
    <t>Expenses:</t>
  </si>
  <si>
    <t>Cost of materials consumed</t>
  </si>
  <si>
    <t>Purchases of stock-in-trade</t>
  </si>
  <si>
    <t>Changes in inventories of finished/semi-finished goods, stock-in-trade &amp; WIP</t>
  </si>
  <si>
    <t>Employee benefits expense</t>
  </si>
  <si>
    <t>Finance costs</t>
  </si>
  <si>
    <t>Depreciation and amortisation expense</t>
  </si>
  <si>
    <t>Other expenses</t>
  </si>
  <si>
    <t>Subtotal</t>
  </si>
  <si>
    <t>Less: Expenditure transferred to capital account</t>
  </si>
  <si>
    <t>Total expenses</t>
  </si>
  <si>
    <t>Profit before exceptional items and tax</t>
  </si>
  <si>
    <t>Exceptional items:</t>
  </si>
  <si>
    <t>Provision for impairment / non-recoverability of assets</t>
  </si>
  <si>
    <t>Profit/(loss) on sale of non-current investments/business undertakings</t>
  </si>
  <si>
    <t>Restructuring, redundancy and other provisions (net)</t>
  </si>
  <si>
    <t>Statutory impact of new labour codes</t>
  </si>
  <si>
    <t>Contribution to electoral trusts</t>
  </si>
  <si>
    <t>Fair value gain/(loss) on non-current investments (net)</t>
  </si>
  <si>
    <t>Total exceptional items</t>
  </si>
  <si>
    <t>Profit before tax</t>
  </si>
  <si>
    <t>Tax expense:</t>
  </si>
  <si>
    <t>Current tax</t>
  </si>
  <si>
    <t>Current tax in relation to earlier years</t>
  </si>
  <si>
    <t>Deferred tax</t>
  </si>
  <si>
    <t>Total tax expense</t>
  </si>
  <si>
    <t>Profit for the year</t>
  </si>
  <si>
    <t>Other comprehensive income</t>
  </si>
  <si>
    <t>(a) Remeasurement gain/(loss) on post-employment defined benefit plans</t>
  </si>
  <si>
    <t>(b) Fair value changes of investments in equity shares</t>
  </si>
  <si>
    <t>Income tax on above (not reclassified)</t>
  </si>
  <si>
    <t>(a) Fair value changes of cash flow hedges</t>
  </si>
  <si>
    <t>Income tax on above (reclassified)</t>
  </si>
  <si>
    <t>Total other comprehensive income for the year</t>
  </si>
  <si>
    <t>Total comprehensive income for the year</t>
  </si>
  <si>
    <t>Earnings per share (₹)</t>
  </si>
  <si>
    <t xml:space="preserve">  Basic</t>
  </si>
  <si>
    <t xml:space="preserve">  Diluted</t>
  </si>
  <si>
    <t>(A) Cash flows from operating activities</t>
  </si>
  <si>
    <t>Adjustments for:</t>
  </si>
  <si>
    <t>Dividend Income</t>
  </si>
  <si>
    <t>(Gain)/loss on sale of PPE incl. intangibles (net of loss on assets scrapped/written off)</t>
  </si>
  <si>
    <t>Exceptional (income)/expenses</t>
  </si>
  <si>
    <t>Interest income and income from current investments</t>
  </si>
  <si>
    <t>Foreign exchange (gain)/loss</t>
  </si>
  <si>
    <t>Other non-cash items</t>
  </si>
  <si>
    <t>Operating profit before changes in non-current/current assets and liabilities</t>
  </si>
  <si>
    <t>Non-current/current financial and other assets</t>
  </si>
  <si>
    <t>Non-current/current financial and other liabilities/provisions</t>
  </si>
  <si>
    <t>Cash generated from operations</t>
  </si>
  <si>
    <t>Income taxes paid (net of refund)</t>
  </si>
  <si>
    <t>Net cash from/(used in) operating activities</t>
  </si>
  <si>
    <t>(B) Cash flows from investing activities</t>
  </si>
  <si>
    <t>Purchase of capital assets</t>
  </si>
  <si>
    <t>Sale of capital assets/business undertakings</t>
  </si>
  <si>
    <t>Advance received against sale of property, plant and equipment</t>
  </si>
  <si>
    <t>Purchase of investments in subsidiaries</t>
  </si>
  <si>
    <t>Purchase of other non-current investments</t>
  </si>
  <si>
    <t>(Purchase)/sale of current investments (net)</t>
  </si>
  <si>
    <t>Loans given</t>
  </si>
  <si>
    <t>Repayment of loans given</t>
  </si>
  <si>
    <t>Principal receipts under sublease</t>
  </si>
  <si>
    <t>Fixed/restricted deposits placed with banks</t>
  </si>
  <si>
    <t>Fixed/restricted deposits realised from banks</t>
  </si>
  <si>
    <t>Interest received</t>
  </si>
  <si>
    <t>Dividend received from subsidiaries</t>
  </si>
  <si>
    <t>Dividend received from associates and joint ventures</t>
  </si>
  <si>
    <t>Dividend received from others</t>
  </si>
  <si>
    <t>Net cash from/(used in) investing activities</t>
  </si>
  <si>
    <t>(C) Cash flows from financing activities</t>
  </si>
  <si>
    <t>Consideration paid upon merger</t>
  </si>
  <si>
    <t>Proceeds from long-term borrowings (net of issue expenses)</t>
  </si>
  <si>
    <t>Repayment of long-term borrowings</t>
  </si>
  <si>
    <t>Proceeds/(repayments) of short-term borrowings (net)</t>
  </si>
  <si>
    <t>Principal payment of lease liabilities</t>
  </si>
  <si>
    <t>Amount received/(paid) on utilisation/cancellation of derivatives</t>
  </si>
  <si>
    <t>Interest paid</t>
  </si>
  <si>
    <t>Dividend paid</t>
  </si>
  <si>
    <t>Net cash from/(used in) financing activities</t>
  </si>
  <si>
    <t>Net increase/(decrease) in cash and cash equivalents</t>
  </si>
  <si>
    <t>Opening cash and cash equivalents (Note 13)</t>
  </si>
  <si>
    <t>Closing cash and cash equivalents (Note 13)</t>
  </si>
  <si>
    <t>FY2025-26 and FY2024-25</t>
  </si>
  <si>
    <t>Summary — Trade Receivables</t>
  </si>
  <si>
    <t>(a) Considered good — Unsecured</t>
  </si>
  <si>
    <t>(b) Credit impaired</t>
  </si>
  <si>
    <t>Total (gross)</t>
  </si>
  <si>
    <t>Less: Allowance for credit losses</t>
  </si>
  <si>
    <t>Total trade receivables (net)</t>
  </si>
  <si>
    <t>Movement in allowance for credit losses of receivables</t>
  </si>
  <si>
    <t>Balance at the beginning of the year</t>
  </si>
  <si>
    <t>Charge/(release) during the year</t>
  </si>
  <si>
    <t>Balance at the end of the year</t>
  </si>
  <si>
    <t>Ageing schedule — As at March 31, 2026 (Outstanding for following periods from due date of payment)</t>
  </si>
  <si>
    <t>Not Due</t>
  </si>
  <si>
    <t>&lt; 6 months</t>
  </si>
  <si>
    <t>6mo–1yr</t>
  </si>
  <si>
    <t>1–2 years</t>
  </si>
  <si>
    <t>2–3 years</t>
  </si>
  <si>
    <t>&gt; 3 years</t>
  </si>
  <si>
    <t>Total</t>
  </si>
  <si>
    <t>Undisputed — considered good</t>
  </si>
  <si>
    <t>Undisputed — credit impaired</t>
  </si>
  <si>
    <t>Disputed — considered good</t>
  </si>
  <si>
    <t>Disputed — credit impaired</t>
  </si>
  <si>
    <t>Expected loss rate</t>
  </si>
  <si>
    <t>0.53%</t>
  </si>
  <si>
    <t>5.23%</t>
  </si>
  <si>
    <t>5.51%</t>
  </si>
  <si>
    <t>3.62%</t>
  </si>
  <si>
    <t>13.37%</t>
  </si>
  <si>
    <t>9.61%</t>
  </si>
  <si>
    <t>Total trade receivables</t>
  </si>
  <si>
    <t>Ageing schedule — As at March 31, 2025 (Outstanding for following periods from due date of payment)</t>
  </si>
  <si>
    <t>0.74%</t>
  </si>
  <si>
    <t>9.59%</t>
  </si>
  <si>
    <t>9.43%</t>
  </si>
  <si>
    <t>8.51%</t>
  </si>
  <si>
    <t>4.51%</t>
  </si>
  <si>
    <t>A. Total outstanding dues of micro and small enterprises</t>
  </si>
  <si>
    <t>Dues of micro and small enterprises</t>
  </si>
  <si>
    <t>B. Total outstanding dues of creditors other than micro and small enterprises</t>
  </si>
  <si>
    <t>(a) Creditors for supplies and services</t>
  </si>
  <si>
    <t>(b) Acceptances</t>
  </si>
  <si>
    <t>C. MSMED Act, 2006 disclosures</t>
  </si>
  <si>
    <t>(i) Principal amount remaining unpaid to supplier at year end*</t>
  </si>
  <si>
    <t>(ii) Interest due thereon remaining unpaid at year end</t>
  </si>
  <si>
    <t>(iii) Interest paid u/s 16 of MSMED Act, with payment made beyond appointed day</t>
  </si>
  <si>
    <t>(iv) Interest due &amp; payable for delay in payment (paid beyond appointed day, without interest under Act)</t>
  </si>
  <si>
    <t>(v) Interest accrued and remaining unpaid at end of year</t>
  </si>
  <si>
    <t>(vi) Further interest remaining due/payable in succeeding years (disallowance u/s 23 MSMED Act)</t>
  </si>
  <si>
    <t>*Included within Other Financial Liabilities (Note 18): ₹340.42 crore (March 31, 2025: ₹356.47 crore) towards dues of micro and small enterprises.</t>
  </si>
  <si>
    <t>D. Ageing schedule of trade payables — As at March 31, 2026 (Outstanding for following periods from due date of payment)</t>
  </si>
  <si>
    <t>&lt; 1 year</t>
  </si>
  <si>
    <t>Undisputed dues — micro and small enterprises</t>
  </si>
  <si>
    <t>Undisputed dues — Others</t>
  </si>
  <si>
    <t>Disputed dues — micro and small enterprises</t>
  </si>
  <si>
    <t>Disputed dues — Others</t>
  </si>
  <si>
    <t>Add: Unbilled dues*</t>
  </si>
  <si>
    <t>Total trade payables</t>
  </si>
  <si>
    <t>Inventory breakup</t>
  </si>
  <si>
    <t>(a) Raw materials</t>
  </si>
  <si>
    <t>(b) Finished and semi-finished goods</t>
  </si>
  <si>
    <t>(c) Stock-in-trade</t>
  </si>
  <si>
    <t>(d) Stores and spares</t>
  </si>
  <si>
    <t>Total Inventories</t>
  </si>
  <si>
    <t>Included above, goods-in-transit</t>
  </si>
  <si>
    <t>(i) Raw materials</t>
  </si>
  <si>
    <t>(ii) Finished and semi-finished goods</t>
  </si>
  <si>
    <t>(iii) Stores and spares</t>
  </si>
  <si>
    <t>Total goods-in-transit</t>
  </si>
  <si>
    <t>Goods-in-transit represent purchased material in transit as on date (already included within the category totals above, not additive).</t>
  </si>
  <si>
    <t>Valuation notes</t>
  </si>
  <si>
    <t>FY2025-26</t>
  </si>
  <si>
    <t>FY2024-25</t>
  </si>
  <si>
    <t>Provisions (net of reversal) for write-down to net realisable value and slow-moving/obsolete items — included in inventory value above</t>
  </si>
  <si>
    <t>Cost of inventories recognised as expense for write-down to net realisable value</t>
  </si>
  <si>
    <t>A. Non-current borrowings</t>
  </si>
  <si>
    <t>(a) Unsecured</t>
  </si>
  <si>
    <t xml:space="preserve">  (i) Non-convertible debentures</t>
  </si>
  <si>
    <t xml:space="preserve">  (ii) Term loans from banks/financial institutions</t>
  </si>
  <si>
    <t>Total non-current borrowings</t>
  </si>
  <si>
    <t>B. Current borrowings</t>
  </si>
  <si>
    <t>(a) Secured</t>
  </si>
  <si>
    <t xml:space="preserve">  (i) Repayable on demand from banks</t>
  </si>
  <si>
    <t xml:space="preserve">  (ii) Current maturities of long-term borrowings — Loan from Joint Plant Committee</t>
  </si>
  <si>
    <t xml:space="preserve">  Subtotal — Secured</t>
  </si>
  <si>
    <t>(b) Unsecured</t>
  </si>
  <si>
    <t xml:space="preserve">  (i) Loans from banks/financial institutions</t>
  </si>
  <si>
    <t xml:space="preserve">  (ii) Current maturities of long-term borrowings</t>
  </si>
  <si>
    <t xml:space="preserve">  (iii) Commercial papers</t>
  </si>
  <si>
    <t xml:space="preserve">  Subtotal — Unsecured</t>
  </si>
  <si>
    <t>Total current borrowings</t>
  </si>
  <si>
    <t>Major unsecured borrowings as at March 31, 2026 — (a) Non-Convertible Debentures (NCDs)</t>
  </si>
  <si>
    <t>Coupon</t>
  </si>
  <si>
    <t>No. of debentures</t>
  </si>
  <si>
    <t>Face value each (₹)</t>
  </si>
  <si>
    <t>Redemption terms</t>
  </si>
  <si>
    <t>7.76% p.a.</t>
  </si>
  <si>
    <t>15,000</t>
  </si>
  <si>
    <t>10,00,000</t>
  </si>
  <si>
    <t>Redeemable at par on September 20, 2032</t>
  </si>
  <si>
    <t>9.84% p.a.</t>
  </si>
  <si>
    <t>43,150</t>
  </si>
  <si>
    <t>Redeemable at par in 4 equal annual instalments commencing February 28, 2031</t>
  </si>
  <si>
    <t>7.65% p.a.</t>
  </si>
  <si>
    <t>3,00,000</t>
  </si>
  <si>
    <t>1,00,000</t>
  </si>
  <si>
    <t>Redeemable at par on February 21, 2030</t>
  </si>
  <si>
    <t>8.03% p.a.</t>
  </si>
  <si>
    <t>2,15,000</t>
  </si>
  <si>
    <t>Redeemable at par on February 25, 2028</t>
  </si>
  <si>
    <t>7.50% p.a.</t>
  </si>
  <si>
    <t>5,000</t>
  </si>
  <si>
    <t>Redeemable at par on September 20, 2027</t>
  </si>
  <si>
    <t>7.79% p.a.</t>
  </si>
  <si>
    <t>2,70,000</t>
  </si>
  <si>
    <t>Redeemable at par on March 26, 2027</t>
  </si>
  <si>
    <t>8.15% p.a.</t>
  </si>
  <si>
    <t>10,000</t>
  </si>
  <si>
    <t>Redeemable at par on October 3, 2026</t>
  </si>
  <si>
    <t>Major unsecured borrowings as at March 31, 2026 — (b) Term loans from banks/financial institutions</t>
  </si>
  <si>
    <t>#</t>
  </si>
  <si>
    <t>Amount o/s Mar 31, 2026 (₹ cr)</t>
  </si>
  <si>
    <t>Amount o/s Mar 31, 2025 (₹ cr)</t>
  </si>
  <si>
    <t>Repayment terms</t>
  </si>
  <si>
    <t>i</t>
  </si>
  <si>
    <t>Repayable in 2 semi-annual instalments; next instalment due Feb 28, 2030</t>
  </si>
  <si>
    <t>ii</t>
  </si>
  <si>
    <t>Repayable on Aug 30, 2029</t>
  </si>
  <si>
    <t>iii</t>
  </si>
  <si>
    <t>USD 750 million equivalent; repayable in 3 equal annual instalments; first due Feb 12, 2029</t>
  </si>
  <si>
    <t>iv</t>
  </si>
  <si>
    <t>Repayable on Dec 11, 2027</t>
  </si>
  <si>
    <t>v</t>
  </si>
  <si>
    <t>Repayable on Dec 8, 2027</t>
  </si>
  <si>
    <t>vi</t>
  </si>
  <si>
    <t>Repayable in 20 semi-annual instalments; next due Sept 30, 2027</t>
  </si>
  <si>
    <t>vii</t>
  </si>
  <si>
    <t>Repayable in 11 annual instalments; next due June 25, 2027</t>
  </si>
  <si>
    <t>viii</t>
  </si>
  <si>
    <t>Repayable in 19 semi-annual instalments; next due March 31, 2027</t>
  </si>
  <si>
    <t>ix</t>
  </si>
  <si>
    <t>Repayable in 18 semi-annual instalments; next due Feb 26, 2027</t>
  </si>
  <si>
    <t>x</t>
  </si>
  <si>
    <t>Repayable in 18 semi-annual instalments; next due Dec 31, 2026</t>
  </si>
  <si>
    <t>xi</t>
  </si>
  <si>
    <t>Repayable in 4 semi-annual instalments; next due Oct 16, 2026</t>
  </si>
  <si>
    <t>xii</t>
  </si>
  <si>
    <t>Repayable in 20 semi-annual instalments; next due Sept 30, 2026</t>
  </si>
  <si>
    <t>xiii</t>
  </si>
  <si>
    <t>Repayable in 2 annual instalments; next due Sept 30, 2026</t>
  </si>
  <si>
    <t>xiv</t>
  </si>
  <si>
    <t>Repayable in 13 semi-annual instalments; next due Sept 30, 2026</t>
  </si>
  <si>
    <t>xv</t>
  </si>
  <si>
    <t>xvi</t>
  </si>
  <si>
    <t>xvii</t>
  </si>
  <si>
    <t>xviii</t>
  </si>
  <si>
    <t>Repayable in 18 semi-annual instalments; next due Sept 30, 2026</t>
  </si>
  <si>
    <t>xix</t>
  </si>
  <si>
    <t>Repayable in 16 semi-annual instalments; next due Sept 30, 2026</t>
  </si>
  <si>
    <t>xx</t>
  </si>
  <si>
    <t>xxi</t>
  </si>
  <si>
    <t>xxii</t>
  </si>
  <si>
    <t>Repayable in 18 semi-annual instalments, starting Sept 30, 2026</t>
  </si>
  <si>
    <t>xxiii</t>
  </si>
  <si>
    <t>Repayable on Sept 14, 2027</t>
  </si>
  <si>
    <t>xxiv</t>
  </si>
  <si>
    <t>Repayable in 13 semi-annual instalments; next due Sept 7, 2026</t>
  </si>
  <si>
    <t>xxv</t>
  </si>
  <si>
    <t>Repayable in 13 semi-annual instalments; next due Sept 1, 2026</t>
  </si>
  <si>
    <t>xxvi</t>
  </si>
  <si>
    <t>xxvii</t>
  </si>
  <si>
    <t>Repayable in 17 semi-annual instalments; next due Aug 19, 2026</t>
  </si>
  <si>
    <t>xxviii</t>
  </si>
  <si>
    <t>Repayable in 7 annual instalments; next due Aug 12, 2026</t>
  </si>
  <si>
    <t>xxix</t>
  </si>
  <si>
    <t>Repayable in 17 semi-annual instalments; next due July 22, 2026</t>
  </si>
  <si>
    <t>xxx</t>
  </si>
  <si>
    <t>Repayable in 14 equal semi-annual instalments; next due July 1, 2026</t>
  </si>
  <si>
    <t>xxxi</t>
  </si>
  <si>
    <t>Repayable in 3 semi-annual instalments; next due June 30, 2026</t>
  </si>
  <si>
    <t>xxxii</t>
  </si>
  <si>
    <t>Repayable in 28 quarterly instalments; next due June 30, 2026</t>
  </si>
  <si>
    <t>xxxiii</t>
  </si>
  <si>
    <t>Repayable in 32 quarterly instalments; next due June 30, 2026</t>
  </si>
  <si>
    <t>xxxiv</t>
  </si>
  <si>
    <t>Repayable in 14 semi-annual instalments; next due June 30, 2026</t>
  </si>
  <si>
    <t>xxxv</t>
  </si>
  <si>
    <t>Repayable in 15 semi-annual instalments; next due June 30, 2026</t>
  </si>
  <si>
    <t>xxxvi</t>
  </si>
  <si>
    <t>xxxvii</t>
  </si>
  <si>
    <t>Repayable in 19 semi-annual instalments; next due June 30, 2026</t>
  </si>
  <si>
    <t>xxxviii</t>
  </si>
  <si>
    <t>Repayable in 13 semi-annual instalments; next due June 28, 2026</t>
  </si>
  <si>
    <t>xxxix</t>
  </si>
  <si>
    <t>Repayable in 11 semi-annual instalments; next due June 19, 2026</t>
  </si>
  <si>
    <t>xl</t>
  </si>
  <si>
    <t>Repayable in 15 semi-annual instalments; next due June 14, 2026</t>
  </si>
  <si>
    <t>xli</t>
  </si>
  <si>
    <t>Repayable in 19 semi-annual instalments; next due June 5, 2026</t>
  </si>
  <si>
    <t>xlii</t>
  </si>
  <si>
    <t>Repayable in 36 quarterly instalments; next due June 4, 2026</t>
  </si>
  <si>
    <t>xliii</t>
  </si>
  <si>
    <t>Repayable in 17 semi-annual instalments; next due May 30, 2026</t>
  </si>
  <si>
    <t>xliv</t>
  </si>
  <si>
    <t>Repayable in 9 semi-annual instalments; next due May 15, 2026</t>
  </si>
  <si>
    <t>xlv</t>
  </si>
  <si>
    <t>USD 146.67 million equivalent outstanding as of Mar 31, 2025; fully repaid during FY2025-26</t>
  </si>
  <si>
    <t>xlvi</t>
  </si>
  <si>
    <t>Outstanding as of Mar 31, 2025; pre-paid during FY2025-26</t>
  </si>
  <si>
    <t>xlvii</t>
  </si>
  <si>
    <t>xlviii</t>
  </si>
  <si>
    <t>xlix</t>
  </si>
  <si>
    <t>Currency and interest-rate exposure of borrowings (incl. current maturities)</t>
  </si>
  <si>
    <t>Currency</t>
  </si>
  <si>
    <t>Fixed rate (₹cr)</t>
  </si>
  <si>
    <t>Floating rate (₹cr)</t>
  </si>
  <si>
    <t>Total (₹cr)</t>
  </si>
  <si>
    <t>As at March 31, 2026</t>
  </si>
  <si>
    <t xml:space="preserve">  INR</t>
  </si>
  <si>
    <t xml:space="preserve">  USD</t>
  </si>
  <si>
    <t xml:space="preserve">  Total</t>
  </si>
  <si>
    <t>As at March 31, 2025</t>
  </si>
  <si>
    <t>Maturity profile of borrowings (incl. current maturities)</t>
  </si>
  <si>
    <t>Not later than one year or on demand</t>
  </si>
  <si>
    <t>Later than one year but not two years</t>
  </si>
  <si>
    <t>Later than two years but not three years</t>
  </si>
  <si>
    <t>Later than three years but not four years</t>
  </si>
  <si>
    <t>Later than four years but not five years</t>
  </si>
  <si>
    <t>More than five years</t>
  </si>
  <si>
    <t>Less: Capitalisation of transaction costs</t>
  </si>
  <si>
    <t>Supplementary: Other Financial Liabilities (Note 18, page F82)</t>
  </si>
  <si>
    <t>Non-current — Creditors for other liabilities</t>
  </si>
  <si>
    <t>Current — Interest accrued but not due</t>
  </si>
  <si>
    <t>Current — Unpaid dividends</t>
  </si>
  <si>
    <t>Current — Creditors for accrued wages and salaries</t>
  </si>
  <si>
    <t>Current — Creditors for other liabilities</t>
  </si>
  <si>
    <t>Total current</t>
  </si>
  <si>
    <t>Current tax (P&amp;L)</t>
  </si>
  <si>
    <t>Deferred tax (P&amp;L)</t>
  </si>
  <si>
    <t>Total tax expense (P&amp;L)</t>
  </si>
  <si>
    <t>Effective tax rate (Total tax expense ÷ PBT)</t>
  </si>
  <si>
    <t>Deferred tax liabilities (net) — Balance Sheet, Note 9</t>
  </si>
  <si>
    <t>Non-current tax assets (net) — Balance Sheet</t>
  </si>
  <si>
    <t>Current tax liabilities (net) — Balance Sheet</t>
  </si>
  <si>
    <t xml:space="preserve">  Tax reconciliation — statutory vs effective rate (Note 9)</t>
  </si>
  <si>
    <t xml:space="preserve">  Deferred tax asset/liability breakup by component</t>
  </si>
  <si>
    <t xml:space="preserve">  MAT credit entitlement, if any</t>
  </si>
  <si>
    <t xml:space="preserve">  Advance tax paid / TDS</t>
  </si>
  <si>
    <t xml:space="preserve">  Income Tax Return (ITR) acknowledgement</t>
  </si>
  <si>
    <t xml:space="preserve">  GST returns (GSTR-1/3B/9)</t>
  </si>
  <si>
    <t>BALANCE SHEET (Standalone)</t>
  </si>
  <si>
    <t xml:space="preserve"> STATEMENT OF PROFIT AND LOSS (Standalone)</t>
  </si>
  <si>
    <t>STATEMENT OF CASH FLOWS (Standalone)</t>
  </si>
  <si>
    <t xml:space="preserve"> TRADE RECEIVABLES (Note 12)</t>
  </si>
  <si>
    <t>TRADE PAYABLES (Note 23)</t>
  </si>
  <si>
    <t>INVENTORIES (Note 11)</t>
  </si>
  <si>
    <t>BORROWINGS (Note 17)</t>
  </si>
  <si>
    <t xml:space="preserve"> TAX</t>
  </si>
  <si>
    <t>Not 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</si>
</sst>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color rgb="FF808080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 wrapText="1" indent="1"/>
    </xf>
    <xf numFmtId="164" fontId="7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6" fillId="0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wrapText="1" indent="1"/>
    </xf>
    <xf numFmtId="0" fontId="7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 wrapText="1" indent="2"/>
    </xf>
    <xf numFmtId="164" fontId="4" fillId="0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wrapText="1"/>
    </xf>
    <xf numFmtId="164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left" wrapText="1" indent="2"/>
    </xf>
    <xf numFmtId="0" fontId="5" fillId="0" borderId="0" xfId="0" applyFont="1" applyFill="1" applyAlignment="1">
      <alignment vertical="top"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/>
    </xf>
    <xf numFmtId="0" fontId="5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opLeftCell="A45" zoomScaleNormal="100" workbookViewId="0">
      <selection activeCell="A70" sqref="A70:D70"/>
    </sheetView>
  </sheetViews>
  <sheetFormatPr baseColWidth="10" defaultColWidth="8.6640625" defaultRowHeight="15" x14ac:dyDescent="0.2"/>
  <cols>
    <col min="1" max="1" width="46" style="13" customWidth="1"/>
    <col min="2" max="3" width="20" style="13" customWidth="1"/>
    <col min="4" max="16384" width="8.6640625" style="13"/>
  </cols>
  <sheetData>
    <row r="1" spans="1:4" ht="17.25" customHeight="1" x14ac:dyDescent="0.2">
      <c r="A1" s="12" t="s">
        <v>391</v>
      </c>
      <c r="B1" s="12"/>
      <c r="C1" s="12"/>
      <c r="D1" s="12"/>
    </row>
    <row r="2" spans="1:4" ht="15" customHeight="1" x14ac:dyDescent="0.2">
      <c r="A2" s="14" t="s">
        <v>0</v>
      </c>
      <c r="B2" s="14"/>
      <c r="C2" s="14"/>
      <c r="D2" s="14"/>
    </row>
    <row r="4" spans="1:4" ht="15" customHeight="1" x14ac:dyDescent="0.2">
      <c r="A4" s="16" t="s">
        <v>1</v>
      </c>
      <c r="B4" s="17" t="s">
        <v>2</v>
      </c>
      <c r="C4" s="17" t="s">
        <v>3</v>
      </c>
    </row>
    <row r="5" spans="1:4" ht="15" customHeight="1" x14ac:dyDescent="0.2">
      <c r="A5" s="15" t="s">
        <v>4</v>
      </c>
      <c r="B5" s="15"/>
      <c r="C5" s="15"/>
      <c r="D5" s="15"/>
    </row>
    <row r="6" spans="1:4" ht="15" customHeight="1" x14ac:dyDescent="0.2">
      <c r="A6" s="22" t="s">
        <v>5</v>
      </c>
      <c r="B6" s="19"/>
      <c r="C6" s="19"/>
    </row>
    <row r="7" spans="1:4" ht="15" customHeight="1" x14ac:dyDescent="0.2">
      <c r="A7" s="27" t="s">
        <v>6</v>
      </c>
      <c r="B7" s="21">
        <v>109059.93</v>
      </c>
      <c r="C7" s="21">
        <v>93203.83</v>
      </c>
    </row>
    <row r="8" spans="1:4" ht="15" customHeight="1" x14ac:dyDescent="0.2">
      <c r="A8" s="27" t="s">
        <v>7</v>
      </c>
      <c r="B8" s="21">
        <v>19220.060000000001</v>
      </c>
      <c r="C8" s="21">
        <v>34189.06</v>
      </c>
    </row>
    <row r="9" spans="1:4" ht="15" customHeight="1" x14ac:dyDescent="0.2">
      <c r="A9" s="27" t="s">
        <v>8</v>
      </c>
      <c r="B9" s="21">
        <v>5976.02</v>
      </c>
      <c r="C9" s="21">
        <v>5342.89</v>
      </c>
    </row>
    <row r="10" spans="1:4" ht="15" customHeight="1" x14ac:dyDescent="0.2">
      <c r="A10" s="27" t="s">
        <v>9</v>
      </c>
      <c r="B10" s="21">
        <v>12.66</v>
      </c>
      <c r="C10" s="21">
        <v>12.66</v>
      </c>
    </row>
    <row r="11" spans="1:4" ht="15" customHeight="1" x14ac:dyDescent="0.2">
      <c r="A11" s="27" t="s">
        <v>10</v>
      </c>
      <c r="B11" s="21">
        <v>842.91</v>
      </c>
      <c r="C11" s="21">
        <v>919.68</v>
      </c>
    </row>
    <row r="12" spans="1:4" ht="15" customHeight="1" x14ac:dyDescent="0.2">
      <c r="A12" s="27" t="s">
        <v>11</v>
      </c>
      <c r="B12" s="21">
        <v>795.47</v>
      </c>
      <c r="C12" s="21">
        <v>671.24</v>
      </c>
    </row>
    <row r="13" spans="1:4" ht="15" customHeight="1" x14ac:dyDescent="0.2">
      <c r="A13" s="18" t="s">
        <v>12</v>
      </c>
      <c r="B13" s="19"/>
      <c r="C13" s="19"/>
    </row>
    <row r="14" spans="1:4" ht="15" customHeight="1" x14ac:dyDescent="0.2">
      <c r="A14" s="20" t="s">
        <v>13</v>
      </c>
      <c r="B14" s="21">
        <v>94528.54</v>
      </c>
      <c r="C14" s="21">
        <v>72699.009999999995</v>
      </c>
    </row>
    <row r="15" spans="1:4" ht="15" customHeight="1" x14ac:dyDescent="0.2">
      <c r="A15" s="20" t="s">
        <v>14</v>
      </c>
      <c r="B15" s="21">
        <v>3.87</v>
      </c>
      <c r="C15" s="21">
        <v>4816.22</v>
      </c>
    </row>
    <row r="16" spans="1:4" ht="15" customHeight="1" x14ac:dyDescent="0.2">
      <c r="A16" s="20" t="s">
        <v>15</v>
      </c>
      <c r="B16" s="21">
        <v>664.28</v>
      </c>
      <c r="C16" s="24"/>
    </row>
    <row r="17" spans="1:3" ht="15" customHeight="1" x14ac:dyDescent="0.2">
      <c r="A17" s="20" t="s">
        <v>16</v>
      </c>
      <c r="B17" s="21">
        <v>1352.83</v>
      </c>
      <c r="C17" s="21">
        <v>2015.58</v>
      </c>
    </row>
    <row r="18" spans="1:3" ht="15" customHeight="1" x14ac:dyDescent="0.2">
      <c r="A18" s="27" t="s">
        <v>17</v>
      </c>
      <c r="B18" s="21">
        <v>70.52</v>
      </c>
      <c r="C18" s="24"/>
    </row>
    <row r="19" spans="1:3" ht="15" customHeight="1" x14ac:dyDescent="0.2">
      <c r="A19" s="27" t="s">
        <v>18</v>
      </c>
      <c r="B19" s="21">
        <v>3784.77</v>
      </c>
      <c r="C19" s="21">
        <v>3763.2</v>
      </c>
    </row>
    <row r="20" spans="1:3" ht="15" customHeight="1" x14ac:dyDescent="0.2">
      <c r="A20" s="27" t="s">
        <v>19</v>
      </c>
      <c r="B20" s="21">
        <v>3042.49</v>
      </c>
      <c r="C20" s="21">
        <v>2796.47</v>
      </c>
    </row>
    <row r="21" spans="1:3" ht="15" customHeight="1" x14ac:dyDescent="0.2">
      <c r="A21" s="22" t="s">
        <v>20</v>
      </c>
      <c r="B21" s="23">
        <v>239354.35</v>
      </c>
      <c r="C21" s="23">
        <v>220429.84</v>
      </c>
    </row>
    <row r="22" spans="1:3" ht="15" customHeight="1" x14ac:dyDescent="0.2">
      <c r="A22" s="22" t="s">
        <v>21</v>
      </c>
      <c r="B22" s="19"/>
      <c r="C22" s="19"/>
    </row>
    <row r="23" spans="1:3" ht="15" customHeight="1" x14ac:dyDescent="0.2">
      <c r="A23" s="27" t="s">
        <v>22</v>
      </c>
      <c r="B23" s="21">
        <v>23059.16</v>
      </c>
      <c r="C23" s="21">
        <v>22933.85</v>
      </c>
    </row>
    <row r="24" spans="1:3" ht="15" customHeight="1" x14ac:dyDescent="0.2">
      <c r="A24" s="18" t="s">
        <v>12</v>
      </c>
      <c r="B24" s="19"/>
      <c r="C24" s="19"/>
    </row>
    <row r="25" spans="1:3" ht="15" customHeight="1" x14ac:dyDescent="0.2">
      <c r="A25" s="20" t="s">
        <v>13</v>
      </c>
      <c r="B25" s="21">
        <v>0.11</v>
      </c>
      <c r="C25" s="21">
        <v>0.12</v>
      </c>
    </row>
    <row r="26" spans="1:3" ht="15" customHeight="1" x14ac:dyDescent="0.2">
      <c r="A26" s="20" t="s">
        <v>23</v>
      </c>
      <c r="B26" s="21">
        <v>1631.65</v>
      </c>
      <c r="C26" s="21">
        <v>1565.65</v>
      </c>
    </row>
    <row r="27" spans="1:3" ht="15" customHeight="1" x14ac:dyDescent="0.2">
      <c r="A27" s="20" t="s">
        <v>24</v>
      </c>
      <c r="B27" s="21">
        <v>2912.79</v>
      </c>
      <c r="C27" s="21">
        <v>3111.93</v>
      </c>
    </row>
    <row r="28" spans="1:3" ht="15" customHeight="1" x14ac:dyDescent="0.2">
      <c r="A28" s="20" t="s">
        <v>25</v>
      </c>
      <c r="B28" s="21">
        <v>191.6</v>
      </c>
      <c r="C28" s="21">
        <v>1032.69</v>
      </c>
    </row>
    <row r="29" spans="1:3" ht="15" customHeight="1" x14ac:dyDescent="0.2">
      <c r="A29" s="20" t="s">
        <v>14</v>
      </c>
      <c r="B29" s="21">
        <v>2.71</v>
      </c>
      <c r="C29" s="21">
        <v>24.74</v>
      </c>
    </row>
    <row r="30" spans="1:3" ht="15" customHeight="1" x14ac:dyDescent="0.2">
      <c r="A30" s="20" t="s">
        <v>15</v>
      </c>
      <c r="B30" s="21">
        <v>364.72</v>
      </c>
      <c r="C30" s="21">
        <v>239.07</v>
      </c>
    </row>
    <row r="31" spans="1:3" ht="15" customHeight="1" x14ac:dyDescent="0.2">
      <c r="A31" s="20" t="s">
        <v>16</v>
      </c>
      <c r="B31" s="21">
        <v>1047.17</v>
      </c>
      <c r="C31" s="21">
        <v>1163.58</v>
      </c>
    </row>
    <row r="32" spans="1:3" ht="15" customHeight="1" x14ac:dyDescent="0.2">
      <c r="A32" s="27" t="s">
        <v>19</v>
      </c>
      <c r="B32" s="21">
        <v>4183.16</v>
      </c>
      <c r="C32" s="21">
        <v>3631.27</v>
      </c>
    </row>
    <row r="33" spans="1:4" ht="15" customHeight="1" x14ac:dyDescent="0.2">
      <c r="A33" s="22" t="s">
        <v>26</v>
      </c>
      <c r="B33" s="23">
        <v>33393.07</v>
      </c>
      <c r="C33" s="23">
        <v>33702.9</v>
      </c>
    </row>
    <row r="34" spans="1:4" ht="15" customHeight="1" x14ac:dyDescent="0.2">
      <c r="A34" s="22" t="s">
        <v>27</v>
      </c>
      <c r="B34" s="23">
        <v>272747.42</v>
      </c>
      <c r="C34" s="23">
        <v>254132.74</v>
      </c>
    </row>
    <row r="35" spans="1:4" ht="15" customHeight="1" x14ac:dyDescent="0.2">
      <c r="A35" s="15" t="s">
        <v>28</v>
      </c>
      <c r="B35" s="15"/>
      <c r="C35" s="15"/>
      <c r="D35" s="15"/>
    </row>
    <row r="36" spans="1:4" ht="15" customHeight="1" x14ac:dyDescent="0.2">
      <c r="A36" s="22" t="s">
        <v>29</v>
      </c>
      <c r="B36" s="19"/>
      <c r="C36" s="19"/>
    </row>
    <row r="37" spans="1:4" ht="15" customHeight="1" x14ac:dyDescent="0.2">
      <c r="A37" s="27" t="s">
        <v>30</v>
      </c>
      <c r="B37" s="21">
        <v>1248.5999999999999</v>
      </c>
      <c r="C37" s="21">
        <v>1248.5999999999999</v>
      </c>
    </row>
    <row r="38" spans="1:4" ht="15" customHeight="1" x14ac:dyDescent="0.2">
      <c r="A38" s="27" t="s">
        <v>31</v>
      </c>
      <c r="B38" s="21">
        <v>134284.71</v>
      </c>
      <c r="C38" s="21">
        <v>125483.34</v>
      </c>
    </row>
    <row r="39" spans="1:4" ht="15" customHeight="1" x14ac:dyDescent="0.2">
      <c r="A39" s="22" t="s">
        <v>32</v>
      </c>
      <c r="B39" s="23">
        <v>135533.31</v>
      </c>
      <c r="C39" s="23">
        <v>126731.94</v>
      </c>
    </row>
    <row r="40" spans="1:4" ht="15" customHeight="1" x14ac:dyDescent="0.2">
      <c r="A40" s="22" t="s">
        <v>33</v>
      </c>
      <c r="B40" s="19"/>
      <c r="C40" s="19"/>
    </row>
    <row r="41" spans="1:4" ht="15" customHeight="1" x14ac:dyDescent="0.2">
      <c r="A41" s="18" t="s">
        <v>34</v>
      </c>
      <c r="B41" s="19"/>
      <c r="C41" s="19"/>
    </row>
    <row r="42" spans="1:4" ht="15" customHeight="1" x14ac:dyDescent="0.2">
      <c r="A42" s="20" t="s">
        <v>35</v>
      </c>
      <c r="B42" s="21">
        <v>50666.45</v>
      </c>
      <c r="C42" s="21">
        <v>51040.98</v>
      </c>
    </row>
    <row r="43" spans="1:4" ht="15" customHeight="1" x14ac:dyDescent="0.2">
      <c r="A43" s="20" t="s">
        <v>36</v>
      </c>
      <c r="B43" s="21">
        <v>3766.16</v>
      </c>
      <c r="C43" s="21">
        <v>3177.06</v>
      </c>
    </row>
    <row r="44" spans="1:4" ht="15" customHeight="1" x14ac:dyDescent="0.2">
      <c r="A44" s="20" t="s">
        <v>37</v>
      </c>
      <c r="B44" s="24"/>
      <c r="C44" s="21">
        <v>46.26</v>
      </c>
    </row>
    <row r="45" spans="1:4" ht="15" customHeight="1" x14ac:dyDescent="0.2">
      <c r="A45" s="20" t="s">
        <v>38</v>
      </c>
      <c r="B45" s="21">
        <v>852.58</v>
      </c>
      <c r="C45" s="21">
        <v>1146.69</v>
      </c>
    </row>
    <row r="46" spans="1:4" ht="15" customHeight="1" x14ac:dyDescent="0.2">
      <c r="A46" s="27" t="s">
        <v>39</v>
      </c>
      <c r="B46" s="21">
        <v>2870.5</v>
      </c>
      <c r="C46" s="21">
        <v>3153.7</v>
      </c>
    </row>
    <row r="47" spans="1:4" ht="15" customHeight="1" x14ac:dyDescent="0.2">
      <c r="A47" s="27" t="s">
        <v>40</v>
      </c>
      <c r="B47" s="21">
        <v>2351.4</v>
      </c>
      <c r="C47" s="21">
        <v>2450.15</v>
      </c>
    </row>
    <row r="48" spans="1:4" ht="15" customHeight="1" x14ac:dyDescent="0.2">
      <c r="A48" s="27" t="s">
        <v>41</v>
      </c>
      <c r="B48" s="21">
        <v>401.5</v>
      </c>
      <c r="C48" s="21">
        <v>314.27999999999997</v>
      </c>
    </row>
    <row r="49" spans="1:3" ht="15" customHeight="1" x14ac:dyDescent="0.2">
      <c r="A49" s="27" t="s">
        <v>42</v>
      </c>
      <c r="B49" s="21">
        <v>9745</v>
      </c>
      <c r="C49" s="21">
        <v>9077.75</v>
      </c>
    </row>
    <row r="50" spans="1:3" ht="15" customHeight="1" x14ac:dyDescent="0.2">
      <c r="A50" s="27" t="s">
        <v>43</v>
      </c>
      <c r="B50" s="21">
        <v>2827.73</v>
      </c>
      <c r="C50" s="21">
        <v>2511.0100000000002</v>
      </c>
    </row>
    <row r="51" spans="1:3" ht="15" customHeight="1" x14ac:dyDescent="0.2">
      <c r="A51" s="22" t="s">
        <v>44</v>
      </c>
      <c r="B51" s="23">
        <v>73481.320000000007</v>
      </c>
      <c r="C51" s="23">
        <v>72917.88</v>
      </c>
    </row>
    <row r="52" spans="1:3" ht="15" customHeight="1" x14ac:dyDescent="0.2">
      <c r="A52" s="22" t="s">
        <v>45</v>
      </c>
      <c r="B52" s="19"/>
      <c r="C52" s="19"/>
    </row>
    <row r="53" spans="1:3" ht="15" customHeight="1" x14ac:dyDescent="0.2">
      <c r="A53" s="18" t="s">
        <v>34</v>
      </c>
      <c r="B53" s="19"/>
      <c r="C53" s="19"/>
    </row>
    <row r="54" spans="1:3" ht="15" customHeight="1" x14ac:dyDescent="0.2">
      <c r="A54" s="20" t="s">
        <v>35</v>
      </c>
      <c r="B54" s="21">
        <v>14037.73</v>
      </c>
      <c r="C54" s="21">
        <v>8640.44</v>
      </c>
    </row>
    <row r="55" spans="1:3" ht="15" customHeight="1" x14ac:dyDescent="0.2">
      <c r="A55" s="20" t="s">
        <v>36</v>
      </c>
      <c r="B55" s="21">
        <v>578.92999999999995</v>
      </c>
      <c r="C55" s="21">
        <v>364.91</v>
      </c>
    </row>
    <row r="56" spans="1:3" ht="26.25" customHeight="1" x14ac:dyDescent="0.2">
      <c r="A56" s="20" t="s">
        <v>46</v>
      </c>
      <c r="B56" s="21">
        <v>1597.51</v>
      </c>
      <c r="C56" s="21">
        <v>1236.18</v>
      </c>
    </row>
    <row r="57" spans="1:3" ht="26.25" customHeight="1" x14ac:dyDescent="0.2">
      <c r="A57" s="20" t="s">
        <v>47</v>
      </c>
      <c r="B57" s="21">
        <v>16778.21</v>
      </c>
      <c r="C57" s="21">
        <v>12902.73</v>
      </c>
    </row>
    <row r="58" spans="1:3" ht="15" customHeight="1" x14ac:dyDescent="0.2">
      <c r="A58" s="20" t="s">
        <v>48</v>
      </c>
      <c r="B58" s="21">
        <v>6735.57</v>
      </c>
      <c r="C58" s="21">
        <v>6462.2</v>
      </c>
    </row>
    <row r="59" spans="1:3" ht="15" customHeight="1" x14ac:dyDescent="0.2">
      <c r="A59" s="20" t="s">
        <v>37</v>
      </c>
      <c r="B59" s="21">
        <v>10.55</v>
      </c>
      <c r="C59" s="21">
        <v>126.4</v>
      </c>
    </row>
    <row r="60" spans="1:3" ht="15" customHeight="1" x14ac:dyDescent="0.2">
      <c r="A60" s="20" t="s">
        <v>38</v>
      </c>
      <c r="B60" s="21">
        <v>9545.9699999999993</v>
      </c>
      <c r="C60" s="21">
        <v>9847.89</v>
      </c>
    </row>
    <row r="61" spans="1:3" ht="15" customHeight="1" x14ac:dyDescent="0.2">
      <c r="A61" s="27" t="s">
        <v>39</v>
      </c>
      <c r="B61" s="21">
        <v>1258.5899999999999</v>
      </c>
      <c r="C61" s="21">
        <v>1191.3399999999999</v>
      </c>
    </row>
    <row r="62" spans="1:3" ht="15" customHeight="1" x14ac:dyDescent="0.2">
      <c r="A62" s="27" t="s">
        <v>40</v>
      </c>
      <c r="B62" s="21">
        <v>132.93</v>
      </c>
      <c r="C62" s="21">
        <v>122.88</v>
      </c>
    </row>
    <row r="63" spans="1:3" ht="15" customHeight="1" x14ac:dyDescent="0.2">
      <c r="A63" s="27" t="s">
        <v>41</v>
      </c>
      <c r="B63" s="21">
        <v>25.04</v>
      </c>
      <c r="C63" s="21">
        <v>22.22</v>
      </c>
    </row>
    <row r="64" spans="1:3" ht="15" customHeight="1" x14ac:dyDescent="0.2">
      <c r="A64" s="27" t="s">
        <v>49</v>
      </c>
      <c r="B64" s="21">
        <v>1974.96</v>
      </c>
      <c r="C64" s="21">
        <v>1451.98</v>
      </c>
    </row>
    <row r="65" spans="1:4" ht="15" customHeight="1" x14ac:dyDescent="0.2">
      <c r="A65" s="27" t="s">
        <v>43</v>
      </c>
      <c r="B65" s="21">
        <v>11056.8</v>
      </c>
      <c r="C65" s="21">
        <v>1113.75</v>
      </c>
    </row>
    <row r="66" spans="1:4" ht="15" customHeight="1" x14ac:dyDescent="0.2">
      <c r="A66" s="22" t="s">
        <v>50</v>
      </c>
      <c r="B66" s="23">
        <v>63732.79</v>
      </c>
      <c r="C66" s="23">
        <v>54482.92</v>
      </c>
    </row>
    <row r="67" spans="1:4" ht="15" customHeight="1" x14ac:dyDescent="0.2">
      <c r="A67" s="22" t="s">
        <v>51</v>
      </c>
      <c r="B67" s="23">
        <v>137214.10999999999</v>
      </c>
      <c r="C67" s="23">
        <v>127400.8</v>
      </c>
    </row>
    <row r="68" spans="1:4" ht="15" customHeight="1" x14ac:dyDescent="0.2">
      <c r="A68" s="22" t="s">
        <v>52</v>
      </c>
      <c r="B68" s="23">
        <v>272747.42</v>
      </c>
      <c r="C68" s="23">
        <v>254132.74</v>
      </c>
    </row>
    <row r="70" spans="1:4" ht="21.75" customHeight="1" x14ac:dyDescent="0.2">
      <c r="A70" s="26"/>
      <c r="B70" s="26"/>
      <c r="C70" s="26"/>
      <c r="D70" s="26"/>
    </row>
  </sheetData>
  <mergeCells count="5">
    <mergeCell ref="A1:D1"/>
    <mergeCell ref="A2:D2"/>
    <mergeCell ref="A5:D5"/>
    <mergeCell ref="A35:D35"/>
    <mergeCell ref="A70:D7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zoomScaleNormal="100" workbookViewId="0">
      <selection activeCell="B58" sqref="A1:XFD1048576"/>
    </sheetView>
  </sheetViews>
  <sheetFormatPr baseColWidth="10" defaultColWidth="8.6640625" defaultRowHeight="15" x14ac:dyDescent="0.2"/>
  <cols>
    <col min="1" max="1" width="52" style="13" customWidth="1"/>
    <col min="2" max="3" width="20" style="13" customWidth="1"/>
    <col min="4" max="16384" width="8.6640625" style="13"/>
  </cols>
  <sheetData>
    <row r="1" spans="1:4" ht="17.25" customHeight="1" x14ac:dyDescent="0.2">
      <c r="A1" s="12" t="s">
        <v>392</v>
      </c>
      <c r="B1" s="12"/>
      <c r="C1" s="12"/>
      <c r="D1" s="12"/>
    </row>
    <row r="2" spans="1:4" ht="15" customHeight="1" x14ac:dyDescent="0.2">
      <c r="A2" s="14" t="s">
        <v>53</v>
      </c>
      <c r="B2" s="14"/>
      <c r="C2" s="14"/>
      <c r="D2" s="14"/>
    </row>
    <row r="4" spans="1:4" ht="26.25" customHeight="1" x14ac:dyDescent="0.2">
      <c r="A4" s="16" t="s">
        <v>1</v>
      </c>
      <c r="B4" s="17" t="s">
        <v>54</v>
      </c>
      <c r="C4" s="17" t="s">
        <v>55</v>
      </c>
    </row>
    <row r="5" spans="1:4" ht="15" customHeight="1" x14ac:dyDescent="0.2">
      <c r="A5" s="28" t="s">
        <v>56</v>
      </c>
      <c r="B5" s="21">
        <v>139720.22</v>
      </c>
      <c r="C5" s="21">
        <v>132516.66</v>
      </c>
    </row>
    <row r="6" spans="1:4" ht="15" customHeight="1" x14ac:dyDescent="0.2">
      <c r="A6" s="28" t="s">
        <v>57</v>
      </c>
      <c r="B6" s="21">
        <v>2165.6999999999998</v>
      </c>
      <c r="C6" s="21">
        <v>2246.9</v>
      </c>
    </row>
    <row r="7" spans="1:4" ht="15" customHeight="1" x14ac:dyDescent="0.2">
      <c r="A7" s="22" t="s">
        <v>58</v>
      </c>
      <c r="B7" s="23">
        <v>141885.92000000001</v>
      </c>
      <c r="C7" s="23">
        <v>134763.56</v>
      </c>
    </row>
    <row r="8" spans="1:4" ht="15" customHeight="1" x14ac:dyDescent="0.2">
      <c r="A8" s="22" t="s">
        <v>59</v>
      </c>
      <c r="B8" s="19"/>
      <c r="C8" s="19"/>
    </row>
    <row r="9" spans="1:4" ht="15" customHeight="1" x14ac:dyDescent="0.2">
      <c r="A9" s="27" t="s">
        <v>60</v>
      </c>
      <c r="B9" s="21">
        <v>47978.73</v>
      </c>
      <c r="C9" s="21">
        <v>44088.93</v>
      </c>
    </row>
    <row r="10" spans="1:4" ht="15" customHeight="1" x14ac:dyDescent="0.2">
      <c r="A10" s="27" t="s">
        <v>61</v>
      </c>
      <c r="B10" s="21">
        <v>5075.8999999999996</v>
      </c>
      <c r="C10" s="21">
        <v>9825.5</v>
      </c>
    </row>
    <row r="11" spans="1:4" ht="26.25" customHeight="1" x14ac:dyDescent="0.2">
      <c r="A11" s="27" t="s">
        <v>62</v>
      </c>
      <c r="B11" s="21">
        <v>-365.03</v>
      </c>
      <c r="C11" s="21">
        <v>330.66</v>
      </c>
    </row>
    <row r="12" spans="1:4" ht="15" customHeight="1" x14ac:dyDescent="0.2">
      <c r="A12" s="27" t="s">
        <v>63</v>
      </c>
      <c r="B12" s="21">
        <v>7755.7</v>
      </c>
      <c r="C12" s="21">
        <v>8010.08</v>
      </c>
    </row>
    <row r="13" spans="1:4" ht="15" customHeight="1" x14ac:dyDescent="0.2">
      <c r="A13" s="27" t="s">
        <v>64</v>
      </c>
      <c r="B13" s="21">
        <v>5116.88</v>
      </c>
      <c r="C13" s="21">
        <v>4238.3500000000004</v>
      </c>
    </row>
    <row r="14" spans="1:4" ht="15" customHeight="1" x14ac:dyDescent="0.2">
      <c r="A14" s="27" t="s">
        <v>65</v>
      </c>
      <c r="B14" s="21">
        <v>7068.68</v>
      </c>
      <c r="C14" s="21">
        <v>6253.16</v>
      </c>
    </row>
    <row r="15" spans="1:4" ht="15" customHeight="1" x14ac:dyDescent="0.2">
      <c r="A15" s="27" t="s">
        <v>66</v>
      </c>
      <c r="B15" s="21">
        <v>47154.3</v>
      </c>
      <c r="C15" s="21">
        <v>43170.46</v>
      </c>
    </row>
    <row r="16" spans="1:4" ht="15" customHeight="1" x14ac:dyDescent="0.2">
      <c r="A16" s="22" t="s">
        <v>67</v>
      </c>
      <c r="B16" s="23">
        <v>119785.17</v>
      </c>
      <c r="C16" s="23">
        <v>115917.14</v>
      </c>
    </row>
    <row r="17" spans="1:3" ht="15" customHeight="1" x14ac:dyDescent="0.2">
      <c r="A17" s="27" t="s">
        <v>68</v>
      </c>
      <c r="B17" s="21">
        <v>351.2</v>
      </c>
      <c r="C17" s="21">
        <v>774.46</v>
      </c>
    </row>
    <row r="18" spans="1:3" ht="15" customHeight="1" x14ac:dyDescent="0.2">
      <c r="A18" s="22" t="s">
        <v>69</v>
      </c>
      <c r="B18" s="23">
        <v>119433.96</v>
      </c>
      <c r="C18" s="23">
        <v>115142.68</v>
      </c>
    </row>
    <row r="19" spans="1:3" ht="15" customHeight="1" x14ac:dyDescent="0.2">
      <c r="A19" s="22" t="s">
        <v>70</v>
      </c>
      <c r="B19" s="23">
        <v>22451.96</v>
      </c>
      <c r="C19" s="23">
        <v>19620.88</v>
      </c>
    </row>
    <row r="20" spans="1:3" ht="15" customHeight="1" x14ac:dyDescent="0.2">
      <c r="A20" s="22" t="s">
        <v>71</v>
      </c>
      <c r="B20" s="19"/>
      <c r="C20" s="19"/>
    </row>
    <row r="21" spans="1:3" ht="15" customHeight="1" x14ac:dyDescent="0.2">
      <c r="A21" s="27" t="s">
        <v>72</v>
      </c>
      <c r="B21" s="21">
        <v>-948.4</v>
      </c>
      <c r="C21" s="21">
        <v>-74.91</v>
      </c>
    </row>
    <row r="22" spans="1:3" ht="26.25" customHeight="1" x14ac:dyDescent="0.2">
      <c r="A22" s="27" t="s">
        <v>73</v>
      </c>
      <c r="B22" s="21">
        <v>322.08</v>
      </c>
      <c r="C22" s="24"/>
    </row>
    <row r="23" spans="1:3" ht="15" customHeight="1" x14ac:dyDescent="0.2">
      <c r="A23" s="27" t="s">
        <v>74</v>
      </c>
      <c r="B23" s="21">
        <v>-425.68</v>
      </c>
      <c r="C23" s="21">
        <v>-670.78</v>
      </c>
    </row>
    <row r="24" spans="1:3" ht="15" customHeight="1" x14ac:dyDescent="0.2">
      <c r="A24" s="27" t="s">
        <v>75</v>
      </c>
      <c r="B24" s="21">
        <v>-72.53</v>
      </c>
      <c r="C24" s="24"/>
    </row>
    <row r="25" spans="1:3" ht="15" customHeight="1" x14ac:dyDescent="0.2">
      <c r="A25" s="27" t="s">
        <v>76</v>
      </c>
      <c r="B25" s="24"/>
      <c r="C25" s="21">
        <v>-173.11</v>
      </c>
    </row>
    <row r="26" spans="1:3" ht="15" customHeight="1" x14ac:dyDescent="0.2">
      <c r="A26" s="27" t="s">
        <v>77</v>
      </c>
      <c r="B26" s="21">
        <v>25.67</v>
      </c>
      <c r="C26" s="21">
        <v>16.760000000000002</v>
      </c>
    </row>
    <row r="27" spans="1:3" ht="15" customHeight="1" x14ac:dyDescent="0.2">
      <c r="A27" s="22" t="s">
        <v>78</v>
      </c>
      <c r="B27" s="23">
        <v>-1098.8599999999999</v>
      </c>
      <c r="C27" s="23">
        <v>-902.04</v>
      </c>
    </row>
    <row r="28" spans="1:3" ht="15" customHeight="1" x14ac:dyDescent="0.2">
      <c r="A28" s="22" t="s">
        <v>79</v>
      </c>
      <c r="B28" s="23">
        <v>21353.1</v>
      </c>
      <c r="C28" s="23">
        <v>18718.84</v>
      </c>
    </row>
    <row r="29" spans="1:3" ht="15" customHeight="1" x14ac:dyDescent="0.2">
      <c r="A29" s="22" t="s">
        <v>80</v>
      </c>
      <c r="B29" s="19"/>
      <c r="C29" s="19"/>
    </row>
    <row r="30" spans="1:3" ht="15" customHeight="1" x14ac:dyDescent="0.2">
      <c r="A30" s="27" t="s">
        <v>81</v>
      </c>
      <c r="B30" s="21">
        <v>4917.07</v>
      </c>
      <c r="C30" s="21">
        <v>3765.51</v>
      </c>
    </row>
    <row r="31" spans="1:3" ht="15" customHeight="1" x14ac:dyDescent="0.2">
      <c r="A31" s="27" t="s">
        <v>82</v>
      </c>
      <c r="B31" s="21">
        <v>-164.54</v>
      </c>
      <c r="C31" s="24"/>
    </row>
    <row r="32" spans="1:3" ht="15" customHeight="1" x14ac:dyDescent="0.2">
      <c r="A32" s="27" t="s">
        <v>83</v>
      </c>
      <c r="B32" s="21">
        <v>535.44000000000005</v>
      </c>
      <c r="C32" s="21">
        <v>983.63</v>
      </c>
    </row>
    <row r="33" spans="1:4" ht="15" customHeight="1" x14ac:dyDescent="0.2">
      <c r="A33" s="22" t="s">
        <v>84</v>
      </c>
      <c r="B33" s="23">
        <v>5287.97</v>
      </c>
      <c r="C33" s="23">
        <v>4749.1400000000003</v>
      </c>
    </row>
    <row r="34" spans="1:4" ht="15" customHeight="1" x14ac:dyDescent="0.2">
      <c r="A34" s="22" t="s">
        <v>85</v>
      </c>
      <c r="B34" s="23">
        <v>16065.13</v>
      </c>
      <c r="C34" s="23">
        <v>13969.7</v>
      </c>
    </row>
    <row r="35" spans="1:4" ht="15" customHeight="1" x14ac:dyDescent="0.2">
      <c r="A35" s="22" t="s">
        <v>86</v>
      </c>
      <c r="B35" s="19"/>
      <c r="C35" s="19"/>
    </row>
    <row r="36" spans="1:4" ht="26.25" customHeight="1" x14ac:dyDescent="0.2">
      <c r="A36" s="27" t="s">
        <v>87</v>
      </c>
      <c r="B36" s="21">
        <v>327.72</v>
      </c>
      <c r="C36" s="21">
        <v>-168.92</v>
      </c>
    </row>
    <row r="37" spans="1:4" ht="15" customHeight="1" x14ac:dyDescent="0.2">
      <c r="A37" s="27" t="s">
        <v>88</v>
      </c>
      <c r="B37" s="21">
        <v>-3108.26</v>
      </c>
      <c r="C37" s="21">
        <v>-23729.01</v>
      </c>
    </row>
    <row r="38" spans="1:4" ht="15" customHeight="1" x14ac:dyDescent="0.2">
      <c r="A38" s="27" t="s">
        <v>89</v>
      </c>
      <c r="B38" s="21">
        <v>-79.95</v>
      </c>
      <c r="C38" s="21">
        <v>18.78</v>
      </c>
    </row>
    <row r="39" spans="1:4" ht="15" customHeight="1" x14ac:dyDescent="0.2">
      <c r="A39" s="27" t="s">
        <v>90</v>
      </c>
      <c r="B39" s="21">
        <v>121.34</v>
      </c>
      <c r="C39" s="21">
        <v>-125.62</v>
      </c>
    </row>
    <row r="40" spans="1:4" ht="15" customHeight="1" x14ac:dyDescent="0.2">
      <c r="A40" s="27" t="s">
        <v>91</v>
      </c>
      <c r="B40" s="21">
        <v>-30.54</v>
      </c>
      <c r="C40" s="21">
        <v>31.61</v>
      </c>
    </row>
    <row r="41" spans="1:4" ht="15" customHeight="1" x14ac:dyDescent="0.2">
      <c r="A41" s="22" t="s">
        <v>92</v>
      </c>
      <c r="B41" s="23">
        <v>-2769.69</v>
      </c>
      <c r="C41" s="23">
        <v>-23973.16</v>
      </c>
    </row>
    <row r="42" spans="1:4" ht="15" customHeight="1" x14ac:dyDescent="0.2">
      <c r="A42" s="22" t="s">
        <v>93</v>
      </c>
      <c r="B42" s="23">
        <v>13295.44</v>
      </c>
      <c r="C42" s="23">
        <v>-10003.459999999999</v>
      </c>
    </row>
    <row r="43" spans="1:4" ht="15" customHeight="1" x14ac:dyDescent="0.2">
      <c r="A43" s="22" t="s">
        <v>94</v>
      </c>
      <c r="B43" s="19"/>
      <c r="C43" s="19"/>
    </row>
    <row r="44" spans="1:4" ht="15" customHeight="1" x14ac:dyDescent="0.2">
      <c r="A44" s="27" t="s">
        <v>95</v>
      </c>
      <c r="B44" s="21">
        <v>12.87</v>
      </c>
      <c r="C44" s="21">
        <v>11.19</v>
      </c>
    </row>
    <row r="45" spans="1:4" ht="15" customHeight="1" x14ac:dyDescent="0.2">
      <c r="A45" s="27" t="s">
        <v>96</v>
      </c>
      <c r="B45" s="21">
        <v>12.87</v>
      </c>
      <c r="C45" s="21">
        <v>11.19</v>
      </c>
    </row>
    <row r="47" spans="1:4" ht="32.25" customHeight="1" x14ac:dyDescent="0.2">
      <c r="A47" s="26"/>
      <c r="B47" s="26"/>
      <c r="C47" s="26"/>
      <c r="D47" s="26"/>
    </row>
  </sheetData>
  <mergeCells count="3">
    <mergeCell ref="A1:D1"/>
    <mergeCell ref="A2:D2"/>
    <mergeCell ref="A47:D4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topLeftCell="A45" zoomScaleNormal="100" workbookViewId="0">
      <selection activeCell="A57" sqref="A1:XFD1048576"/>
    </sheetView>
  </sheetViews>
  <sheetFormatPr baseColWidth="10" defaultColWidth="8.6640625" defaultRowHeight="15" x14ac:dyDescent="0.2"/>
  <cols>
    <col min="1" max="1" width="52" style="13" customWidth="1"/>
    <col min="2" max="3" width="20" style="13" customWidth="1"/>
    <col min="4" max="16384" width="8.6640625" style="13"/>
  </cols>
  <sheetData>
    <row r="1" spans="1:4" ht="17.25" customHeight="1" x14ac:dyDescent="0.2">
      <c r="A1" s="12" t="s">
        <v>393</v>
      </c>
      <c r="B1" s="12"/>
      <c r="C1" s="12"/>
      <c r="D1" s="12"/>
    </row>
    <row r="2" spans="1:4" ht="15" customHeight="1" x14ac:dyDescent="0.2">
      <c r="A2" s="14" t="s">
        <v>53</v>
      </c>
      <c r="B2" s="14"/>
      <c r="C2" s="14"/>
      <c r="D2" s="14"/>
    </row>
    <row r="4" spans="1:4" ht="26.25" customHeight="1" x14ac:dyDescent="0.2">
      <c r="A4" s="16" t="s">
        <v>1</v>
      </c>
      <c r="B4" s="17" t="s">
        <v>54</v>
      </c>
      <c r="C4" s="17" t="s">
        <v>55</v>
      </c>
    </row>
    <row r="5" spans="1:4" ht="15" customHeight="1" x14ac:dyDescent="0.2">
      <c r="A5" s="22" t="s">
        <v>97</v>
      </c>
      <c r="B5" s="19"/>
      <c r="C5" s="19"/>
    </row>
    <row r="6" spans="1:4" ht="15" customHeight="1" x14ac:dyDescent="0.2">
      <c r="A6" s="22" t="s">
        <v>79</v>
      </c>
      <c r="B6" s="23">
        <v>21353.1</v>
      </c>
      <c r="C6" s="23">
        <v>18718.84</v>
      </c>
    </row>
    <row r="7" spans="1:4" ht="15" customHeight="1" x14ac:dyDescent="0.2">
      <c r="A7" s="22" t="s">
        <v>98</v>
      </c>
      <c r="B7" s="19"/>
      <c r="C7" s="19"/>
    </row>
    <row r="8" spans="1:4" ht="15" customHeight="1" x14ac:dyDescent="0.2">
      <c r="A8" s="27" t="s">
        <v>65</v>
      </c>
      <c r="B8" s="21">
        <v>7068.68</v>
      </c>
      <c r="C8" s="21">
        <v>6253.16</v>
      </c>
    </row>
    <row r="9" spans="1:4" ht="15" customHeight="1" x14ac:dyDescent="0.2">
      <c r="A9" s="27" t="s">
        <v>99</v>
      </c>
      <c r="B9" s="21">
        <v>-566.77</v>
      </c>
      <c r="C9" s="21">
        <v>-297.35000000000002</v>
      </c>
    </row>
    <row r="10" spans="1:4" ht="26.25" customHeight="1" x14ac:dyDescent="0.2">
      <c r="A10" s="27" t="s">
        <v>100</v>
      </c>
      <c r="B10" s="21">
        <v>149.6</v>
      </c>
      <c r="C10" s="21">
        <v>77.599999999999994</v>
      </c>
    </row>
    <row r="11" spans="1:4" ht="15" customHeight="1" x14ac:dyDescent="0.2">
      <c r="A11" s="27" t="s">
        <v>101</v>
      </c>
      <c r="B11" s="21">
        <v>1098.8599999999999</v>
      </c>
      <c r="C11" s="21">
        <v>902.04</v>
      </c>
    </row>
    <row r="12" spans="1:4" ht="15" customHeight="1" x14ac:dyDescent="0.2">
      <c r="A12" s="27" t="s">
        <v>102</v>
      </c>
      <c r="B12" s="21">
        <v>-1601.89</v>
      </c>
      <c r="C12" s="21">
        <v>-1895.01</v>
      </c>
    </row>
    <row r="13" spans="1:4" ht="15" customHeight="1" x14ac:dyDescent="0.2">
      <c r="A13" s="27" t="s">
        <v>64</v>
      </c>
      <c r="B13" s="21">
        <v>5116.88</v>
      </c>
      <c r="C13" s="21">
        <v>4238.3500000000004</v>
      </c>
    </row>
    <row r="14" spans="1:4" ht="15" customHeight="1" x14ac:dyDescent="0.2">
      <c r="A14" s="27" t="s">
        <v>103</v>
      </c>
      <c r="B14" s="21">
        <v>-177.35</v>
      </c>
      <c r="C14" s="21">
        <v>-397.52</v>
      </c>
    </row>
    <row r="15" spans="1:4" ht="15" customHeight="1" x14ac:dyDescent="0.2">
      <c r="A15" s="27" t="s">
        <v>104</v>
      </c>
      <c r="B15" s="21">
        <v>16.989999999999998</v>
      </c>
      <c r="C15" s="21">
        <v>-1919.13</v>
      </c>
    </row>
    <row r="16" spans="1:4" ht="15" customHeight="1" x14ac:dyDescent="0.2">
      <c r="A16" s="22" t="s">
        <v>67</v>
      </c>
      <c r="B16" s="23">
        <v>11104.6</v>
      </c>
      <c r="C16" s="23">
        <v>6962.14</v>
      </c>
    </row>
    <row r="17" spans="1:3" ht="26.25" customHeight="1" x14ac:dyDescent="0.2">
      <c r="A17" s="22" t="s">
        <v>105</v>
      </c>
      <c r="B17" s="23">
        <v>32457.7</v>
      </c>
      <c r="C17" s="23">
        <v>25680.98</v>
      </c>
    </row>
    <row r="18" spans="1:3" ht="15" customHeight="1" x14ac:dyDescent="0.2">
      <c r="A18" s="22" t="s">
        <v>98</v>
      </c>
      <c r="B18" s="19"/>
      <c r="C18" s="19"/>
    </row>
    <row r="19" spans="1:3" ht="15" customHeight="1" x14ac:dyDescent="0.2">
      <c r="A19" s="27" t="s">
        <v>106</v>
      </c>
      <c r="B19" s="21">
        <v>-605.99</v>
      </c>
      <c r="C19" s="21">
        <v>-548.53</v>
      </c>
    </row>
    <row r="20" spans="1:3" ht="15" customHeight="1" x14ac:dyDescent="0.2">
      <c r="A20" s="27" t="s">
        <v>22</v>
      </c>
      <c r="B20" s="21">
        <v>-225.06</v>
      </c>
      <c r="C20" s="21">
        <v>1584.13</v>
      </c>
    </row>
    <row r="21" spans="1:3" ht="26.25" customHeight="1" x14ac:dyDescent="0.2">
      <c r="A21" s="27" t="s">
        <v>107</v>
      </c>
      <c r="B21" s="21">
        <v>4564.1000000000004</v>
      </c>
      <c r="C21" s="21">
        <v>-522.64</v>
      </c>
    </row>
    <row r="22" spans="1:3" ht="15" customHeight="1" x14ac:dyDescent="0.2">
      <c r="A22" s="22" t="s">
        <v>67</v>
      </c>
      <c r="B22" s="23">
        <v>3733.05</v>
      </c>
      <c r="C22" s="23">
        <v>512.96</v>
      </c>
    </row>
    <row r="23" spans="1:3" ht="15" customHeight="1" x14ac:dyDescent="0.2">
      <c r="A23" s="22" t="s">
        <v>108</v>
      </c>
      <c r="B23" s="23">
        <v>36190.75</v>
      </c>
      <c r="C23" s="23">
        <v>26193.94</v>
      </c>
    </row>
    <row r="24" spans="1:3" ht="15" customHeight="1" x14ac:dyDescent="0.2">
      <c r="A24" s="27" t="s">
        <v>109</v>
      </c>
      <c r="B24" s="21">
        <v>-4229.8</v>
      </c>
      <c r="C24" s="21">
        <v>-2688.26</v>
      </c>
    </row>
    <row r="25" spans="1:3" ht="15" customHeight="1" x14ac:dyDescent="0.2">
      <c r="A25" s="22" t="s">
        <v>110</v>
      </c>
      <c r="B25" s="23">
        <v>31960.95</v>
      </c>
      <c r="C25" s="23">
        <v>23505.68</v>
      </c>
    </row>
    <row r="26" spans="1:3" ht="15" customHeight="1" x14ac:dyDescent="0.2">
      <c r="A26" s="22" t="s">
        <v>111</v>
      </c>
      <c r="B26" s="19"/>
      <c r="C26" s="19"/>
    </row>
    <row r="27" spans="1:3" ht="15" customHeight="1" x14ac:dyDescent="0.2">
      <c r="A27" s="27" t="s">
        <v>112</v>
      </c>
      <c r="B27" s="21">
        <v>-8813.6</v>
      </c>
      <c r="C27" s="21">
        <v>-11105.71</v>
      </c>
    </row>
    <row r="28" spans="1:3" ht="15" customHeight="1" x14ac:dyDescent="0.2">
      <c r="A28" s="27" t="s">
        <v>113</v>
      </c>
      <c r="B28" s="21">
        <v>1186.31</v>
      </c>
      <c r="C28" s="21">
        <v>25.28</v>
      </c>
    </row>
    <row r="29" spans="1:3" ht="26.25" customHeight="1" x14ac:dyDescent="0.2">
      <c r="A29" s="27" t="s">
        <v>114</v>
      </c>
      <c r="B29" s="21">
        <v>4.5999999999999996</v>
      </c>
      <c r="C29" s="21">
        <v>750</v>
      </c>
    </row>
    <row r="30" spans="1:3" ht="15" customHeight="1" x14ac:dyDescent="0.2">
      <c r="A30" s="27" t="s">
        <v>115</v>
      </c>
      <c r="B30" s="21">
        <v>-24166.2</v>
      </c>
      <c r="C30" s="21">
        <v>-24575.72</v>
      </c>
    </row>
    <row r="31" spans="1:3" ht="15" customHeight="1" x14ac:dyDescent="0.2">
      <c r="A31" s="27" t="s">
        <v>116</v>
      </c>
      <c r="B31" s="21">
        <v>-26.05</v>
      </c>
      <c r="C31" s="21">
        <v>-327.73</v>
      </c>
    </row>
    <row r="32" spans="1:3" ht="15" customHeight="1" x14ac:dyDescent="0.2">
      <c r="A32" s="27" t="s">
        <v>117</v>
      </c>
      <c r="B32" s="21">
        <v>127.94</v>
      </c>
      <c r="C32" s="21">
        <v>782.61</v>
      </c>
    </row>
    <row r="33" spans="1:3" ht="15" customHeight="1" x14ac:dyDescent="0.2">
      <c r="A33" s="27" t="s">
        <v>118</v>
      </c>
      <c r="B33" s="21">
        <v>-111.15</v>
      </c>
      <c r="C33" s="21">
        <v>-1138.31</v>
      </c>
    </row>
    <row r="34" spans="1:3" ht="15" customHeight="1" x14ac:dyDescent="0.2">
      <c r="A34" s="27" t="s">
        <v>119</v>
      </c>
      <c r="B34" s="21">
        <v>5116.05</v>
      </c>
      <c r="C34" s="21">
        <v>201.65</v>
      </c>
    </row>
    <row r="35" spans="1:3" ht="15" customHeight="1" x14ac:dyDescent="0.2">
      <c r="A35" s="27" t="s">
        <v>120</v>
      </c>
      <c r="B35" s="21">
        <v>0.45</v>
      </c>
      <c r="C35" s="21">
        <v>0.46</v>
      </c>
    </row>
    <row r="36" spans="1:3" ht="15" customHeight="1" x14ac:dyDescent="0.2">
      <c r="A36" s="27" t="s">
        <v>121</v>
      </c>
      <c r="B36" s="21">
        <v>-29.98</v>
      </c>
      <c r="C36" s="21">
        <v>-15.49</v>
      </c>
    </row>
    <row r="37" spans="1:3" ht="15" customHeight="1" x14ac:dyDescent="0.2">
      <c r="A37" s="27" t="s">
        <v>122</v>
      </c>
      <c r="B37" s="21">
        <v>14.94</v>
      </c>
      <c r="C37" s="21">
        <v>358.66</v>
      </c>
    </row>
    <row r="38" spans="1:3" ht="15" customHeight="1" x14ac:dyDescent="0.2">
      <c r="A38" s="27" t="s">
        <v>123</v>
      </c>
      <c r="B38" s="21">
        <v>466.67</v>
      </c>
      <c r="C38" s="21">
        <v>515.52</v>
      </c>
    </row>
    <row r="39" spans="1:3" ht="15" customHeight="1" x14ac:dyDescent="0.2">
      <c r="A39" s="27" t="s">
        <v>124</v>
      </c>
      <c r="B39" s="21">
        <v>353.04</v>
      </c>
      <c r="C39" s="21">
        <v>163.47</v>
      </c>
    </row>
    <row r="40" spans="1:3" ht="15" customHeight="1" x14ac:dyDescent="0.2">
      <c r="A40" s="27" t="s">
        <v>125</v>
      </c>
      <c r="B40" s="21">
        <v>120.93</v>
      </c>
      <c r="C40" s="21">
        <v>79.28</v>
      </c>
    </row>
    <row r="41" spans="1:3" ht="15" customHeight="1" x14ac:dyDescent="0.2">
      <c r="A41" s="27" t="s">
        <v>126</v>
      </c>
      <c r="B41" s="21">
        <v>92.8</v>
      </c>
      <c r="C41" s="21">
        <v>54.6</v>
      </c>
    </row>
    <row r="42" spans="1:3" ht="15" customHeight="1" x14ac:dyDescent="0.2">
      <c r="A42" s="22" t="s">
        <v>127</v>
      </c>
      <c r="B42" s="23">
        <v>-25663.25</v>
      </c>
      <c r="C42" s="23">
        <v>-34231.43</v>
      </c>
    </row>
    <row r="43" spans="1:3" ht="15" customHeight="1" x14ac:dyDescent="0.2">
      <c r="A43" s="22" t="s">
        <v>128</v>
      </c>
      <c r="B43" s="19"/>
      <c r="C43" s="19"/>
    </row>
    <row r="44" spans="1:3" ht="15" customHeight="1" x14ac:dyDescent="0.2">
      <c r="A44" s="27" t="s">
        <v>129</v>
      </c>
      <c r="B44" s="24"/>
      <c r="C44" s="21">
        <v>-12.77</v>
      </c>
    </row>
    <row r="45" spans="1:3" ht="26.25" customHeight="1" x14ac:dyDescent="0.2">
      <c r="A45" s="27" t="s">
        <v>130</v>
      </c>
      <c r="B45" s="21">
        <v>8245.3799999999992</v>
      </c>
      <c r="C45" s="21">
        <v>19463.73</v>
      </c>
    </row>
    <row r="46" spans="1:3" ht="15" customHeight="1" x14ac:dyDescent="0.2">
      <c r="A46" s="27" t="s">
        <v>131</v>
      </c>
      <c r="B46" s="21">
        <v>-9385.44</v>
      </c>
      <c r="C46" s="21">
        <v>-3931.48</v>
      </c>
    </row>
    <row r="47" spans="1:3" ht="15" customHeight="1" x14ac:dyDescent="0.2">
      <c r="A47" s="27" t="s">
        <v>132</v>
      </c>
      <c r="B47" s="21">
        <v>5338.39</v>
      </c>
      <c r="C47" s="21">
        <v>3562.72</v>
      </c>
    </row>
    <row r="48" spans="1:3" ht="15" customHeight="1" x14ac:dyDescent="0.2">
      <c r="A48" s="27" t="s">
        <v>133</v>
      </c>
      <c r="B48" s="21">
        <v>-427.36</v>
      </c>
      <c r="C48" s="21">
        <v>-503.45</v>
      </c>
    </row>
    <row r="49" spans="1:4" ht="26.25" customHeight="1" x14ac:dyDescent="0.2">
      <c r="A49" s="27" t="s">
        <v>134</v>
      </c>
      <c r="B49" s="21">
        <v>293.39999999999998</v>
      </c>
      <c r="C49" s="21">
        <v>309.70999999999998</v>
      </c>
    </row>
    <row r="50" spans="1:4" ht="15" customHeight="1" x14ac:dyDescent="0.2">
      <c r="A50" s="27" t="s">
        <v>135</v>
      </c>
      <c r="B50" s="21">
        <v>-6067.14</v>
      </c>
      <c r="C50" s="21">
        <v>-5113.51</v>
      </c>
    </row>
    <row r="51" spans="1:4" ht="15" customHeight="1" x14ac:dyDescent="0.2">
      <c r="A51" s="27" t="s">
        <v>136</v>
      </c>
      <c r="B51" s="21">
        <v>-4494.07</v>
      </c>
      <c r="C51" s="21">
        <v>-4494.07</v>
      </c>
    </row>
    <row r="52" spans="1:4" ht="15" customHeight="1" x14ac:dyDescent="0.2">
      <c r="A52" s="22" t="s">
        <v>137</v>
      </c>
      <c r="B52" s="23">
        <v>-6496.84</v>
      </c>
      <c r="C52" s="23">
        <v>9280.8799999999992</v>
      </c>
    </row>
    <row r="53" spans="1:4" ht="26.25" customHeight="1" x14ac:dyDescent="0.2">
      <c r="A53" s="22" t="s">
        <v>138</v>
      </c>
      <c r="B53" s="23">
        <v>-199.14</v>
      </c>
      <c r="C53" s="23">
        <v>-1444.87</v>
      </c>
    </row>
    <row r="54" spans="1:4" ht="15" customHeight="1" x14ac:dyDescent="0.2">
      <c r="A54" s="28" t="s">
        <v>139</v>
      </c>
      <c r="B54" s="21">
        <v>3111.93</v>
      </c>
      <c r="C54" s="21">
        <v>4556.8</v>
      </c>
    </row>
    <row r="55" spans="1:4" ht="15" customHeight="1" x14ac:dyDescent="0.2">
      <c r="A55" s="22" t="s">
        <v>140</v>
      </c>
      <c r="B55" s="23">
        <v>2912.79</v>
      </c>
      <c r="C55" s="23">
        <v>3111.93</v>
      </c>
    </row>
    <row r="57" spans="1:4" ht="21.75" customHeight="1" x14ac:dyDescent="0.2">
      <c r="A57" s="26"/>
      <c r="B57" s="26"/>
      <c r="C57" s="26"/>
      <c r="D57" s="26"/>
    </row>
    <row r="59" spans="1:4" ht="53.25" customHeight="1" x14ac:dyDescent="0.2">
      <c r="A59" s="26"/>
      <c r="B59" s="26"/>
      <c r="C59" s="26"/>
      <c r="D59" s="26"/>
    </row>
  </sheetData>
  <mergeCells count="4">
    <mergeCell ref="A1:D1"/>
    <mergeCell ref="A2:D2"/>
    <mergeCell ref="A57:D57"/>
    <mergeCell ref="A59:D5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zoomScaleNormal="100" workbookViewId="0">
      <selection activeCell="E11" sqref="E11"/>
    </sheetView>
  </sheetViews>
  <sheetFormatPr baseColWidth="10" defaultColWidth="8.6640625" defaultRowHeight="15" x14ac:dyDescent="0.2"/>
  <cols>
    <col min="1" max="1" width="30" style="13" customWidth="1"/>
    <col min="2" max="7" width="11" style="13" customWidth="1"/>
    <col min="8" max="8" width="13" style="13" customWidth="1"/>
    <col min="9" max="16384" width="8.6640625" style="13"/>
  </cols>
  <sheetData>
    <row r="1" spans="1:7" ht="18" x14ac:dyDescent="0.2">
      <c r="A1" s="12" t="s">
        <v>394</v>
      </c>
      <c r="B1" s="12"/>
      <c r="C1" s="12"/>
      <c r="D1" s="12"/>
      <c r="E1" s="12"/>
      <c r="F1" s="12"/>
      <c r="G1" s="12"/>
    </row>
    <row r="2" spans="1:7" x14ac:dyDescent="0.2">
      <c r="A2" s="14" t="s">
        <v>0</v>
      </c>
      <c r="B2" s="14"/>
      <c r="C2" s="14"/>
      <c r="D2" s="14"/>
      <c r="E2" s="14"/>
      <c r="F2" s="14"/>
      <c r="G2" s="14"/>
    </row>
    <row r="5" spans="1:7" x14ac:dyDescent="0.2">
      <c r="A5" s="15" t="s">
        <v>142</v>
      </c>
      <c r="B5" s="15"/>
      <c r="C5" s="15"/>
      <c r="D5" s="15"/>
      <c r="E5" s="15"/>
      <c r="F5" s="15"/>
      <c r="G5" s="15"/>
    </row>
    <row r="6" spans="1:7" ht="30" x14ac:dyDescent="0.2">
      <c r="A6" s="16" t="s">
        <v>1</v>
      </c>
      <c r="B6" s="17" t="s">
        <v>2</v>
      </c>
      <c r="C6" s="17" t="s">
        <v>3</v>
      </c>
    </row>
    <row r="7" spans="1:7" ht="31" x14ac:dyDescent="0.2">
      <c r="A7" s="27" t="s">
        <v>143</v>
      </c>
      <c r="B7" s="21">
        <v>1674.59</v>
      </c>
      <c r="C7" s="21">
        <v>1620.64</v>
      </c>
    </row>
    <row r="8" spans="1:7" ht="16" x14ac:dyDescent="0.2">
      <c r="A8" s="27" t="s">
        <v>144</v>
      </c>
      <c r="B8" s="21">
        <v>185.88</v>
      </c>
      <c r="C8" s="21">
        <v>175.73</v>
      </c>
    </row>
    <row r="9" spans="1:7" ht="16" x14ac:dyDescent="0.2">
      <c r="A9" s="18" t="s">
        <v>145</v>
      </c>
      <c r="B9" s="23">
        <v>1860.47</v>
      </c>
      <c r="C9" s="23">
        <v>1796.37</v>
      </c>
    </row>
    <row r="10" spans="1:7" ht="16" x14ac:dyDescent="0.2">
      <c r="A10" s="27" t="s">
        <v>146</v>
      </c>
      <c r="B10" s="21">
        <v>228.82</v>
      </c>
      <c r="C10" s="21">
        <v>230.72</v>
      </c>
    </row>
    <row r="11" spans="1:7" ht="16" x14ac:dyDescent="0.2">
      <c r="A11" s="18" t="s">
        <v>147</v>
      </c>
      <c r="B11" s="23">
        <v>1631.65</v>
      </c>
      <c r="C11" s="23">
        <v>1565.65</v>
      </c>
    </row>
    <row r="13" spans="1:7" x14ac:dyDescent="0.2">
      <c r="A13" s="15" t="s">
        <v>148</v>
      </c>
      <c r="B13" s="15"/>
      <c r="C13" s="15"/>
      <c r="D13" s="15"/>
      <c r="E13" s="15"/>
      <c r="F13" s="15"/>
      <c r="G13" s="15"/>
    </row>
    <row r="14" spans="1:7" ht="45" x14ac:dyDescent="0.2">
      <c r="A14" s="16" t="s">
        <v>1</v>
      </c>
      <c r="B14" s="17" t="s">
        <v>54</v>
      </c>
      <c r="C14" s="17" t="s">
        <v>55</v>
      </c>
    </row>
    <row r="15" spans="1:7" ht="31" x14ac:dyDescent="0.2">
      <c r="A15" s="18" t="s">
        <v>149</v>
      </c>
      <c r="B15" s="23">
        <v>230.72</v>
      </c>
      <c r="C15" s="23">
        <v>259.52</v>
      </c>
    </row>
    <row r="16" spans="1:7" ht="16" x14ac:dyDescent="0.2">
      <c r="A16" s="27" t="s">
        <v>150</v>
      </c>
      <c r="B16" s="21">
        <v>-1.9</v>
      </c>
      <c r="C16" s="21">
        <v>-28.8</v>
      </c>
    </row>
    <row r="17" spans="1:8" ht="16" x14ac:dyDescent="0.2">
      <c r="A17" s="18" t="s">
        <v>151</v>
      </c>
      <c r="B17" s="23">
        <v>228.82</v>
      </c>
      <c r="C17" s="23">
        <v>230.72</v>
      </c>
    </row>
    <row r="19" spans="1:8" x14ac:dyDescent="0.2">
      <c r="A19" s="15" t="s">
        <v>152</v>
      </c>
      <c r="B19" s="15"/>
      <c r="C19" s="15"/>
      <c r="D19" s="15"/>
      <c r="E19" s="15"/>
      <c r="F19" s="15"/>
      <c r="G19" s="15"/>
      <c r="H19" s="15"/>
    </row>
    <row r="20" spans="1:8" x14ac:dyDescent="0.2">
      <c r="A20" s="16" t="s">
        <v>1</v>
      </c>
      <c r="B20" s="17" t="s">
        <v>153</v>
      </c>
      <c r="C20" s="17" t="s">
        <v>154</v>
      </c>
      <c r="D20" s="17" t="s">
        <v>155</v>
      </c>
      <c r="E20" s="17" t="s">
        <v>156</v>
      </c>
      <c r="F20" s="17" t="s">
        <v>157</v>
      </c>
      <c r="G20" s="17" t="s">
        <v>158</v>
      </c>
      <c r="H20" s="17" t="s">
        <v>159</v>
      </c>
    </row>
    <row r="21" spans="1:8" ht="16" x14ac:dyDescent="0.2">
      <c r="A21" s="27" t="s">
        <v>160</v>
      </c>
      <c r="B21" s="21">
        <v>1039.75</v>
      </c>
      <c r="C21" s="21">
        <v>259.39999999999998</v>
      </c>
      <c r="D21" s="21">
        <v>151.91</v>
      </c>
      <c r="E21" s="21">
        <v>116.58</v>
      </c>
      <c r="F21" s="21">
        <v>25.92</v>
      </c>
      <c r="G21" s="21">
        <v>81.03</v>
      </c>
      <c r="H21" s="21">
        <v>1674.59</v>
      </c>
    </row>
    <row r="22" spans="1:8" ht="16" x14ac:dyDescent="0.2">
      <c r="A22" s="27" t="s">
        <v>161</v>
      </c>
      <c r="B22" s="21">
        <v>0.35</v>
      </c>
      <c r="C22" s="21">
        <v>5.03</v>
      </c>
      <c r="D22" s="21">
        <v>1.7</v>
      </c>
      <c r="E22" s="21">
        <v>4.17</v>
      </c>
      <c r="F22" s="21">
        <v>14.33</v>
      </c>
      <c r="G22" s="21">
        <v>104.93</v>
      </c>
      <c r="H22" s="21">
        <v>130.51</v>
      </c>
    </row>
    <row r="23" spans="1:8" ht="16" x14ac:dyDescent="0.2">
      <c r="A23" s="27" t="s">
        <v>162</v>
      </c>
      <c r="B23" s="24"/>
      <c r="C23" s="24"/>
      <c r="D23" s="24"/>
      <c r="E23" s="24"/>
      <c r="F23" s="24"/>
      <c r="G23" s="24"/>
      <c r="H23" s="24"/>
    </row>
    <row r="24" spans="1:8" ht="16" x14ac:dyDescent="0.2">
      <c r="A24" s="27" t="s">
        <v>163</v>
      </c>
      <c r="B24" s="24"/>
      <c r="C24" s="24"/>
      <c r="D24" s="24"/>
      <c r="E24" s="21">
        <v>2.0099999999999998</v>
      </c>
      <c r="F24" s="24"/>
      <c r="G24" s="21">
        <v>53.36</v>
      </c>
      <c r="H24" s="21">
        <v>55.37</v>
      </c>
    </row>
    <row r="25" spans="1:8" ht="16" x14ac:dyDescent="0.2">
      <c r="A25" s="22" t="s">
        <v>67</v>
      </c>
      <c r="B25" s="23">
        <v>1040.0999999999999</v>
      </c>
      <c r="C25" s="23">
        <v>264.43</v>
      </c>
      <c r="D25" s="23">
        <v>153.61000000000001</v>
      </c>
      <c r="E25" s="23">
        <v>122.76</v>
      </c>
      <c r="F25" s="23">
        <v>40.25</v>
      </c>
      <c r="G25" s="23">
        <v>239.32</v>
      </c>
      <c r="H25" s="23">
        <v>1860.47</v>
      </c>
    </row>
    <row r="26" spans="1:8" ht="16" x14ac:dyDescent="0.2">
      <c r="A26" s="27" t="s">
        <v>164</v>
      </c>
      <c r="B26" s="24" t="s">
        <v>165</v>
      </c>
      <c r="C26" s="24" t="s">
        <v>166</v>
      </c>
      <c r="D26" s="24" t="s">
        <v>167</v>
      </c>
      <c r="E26" s="24" t="s">
        <v>168</v>
      </c>
      <c r="F26" s="24" t="s">
        <v>169</v>
      </c>
      <c r="G26" s="24" t="s">
        <v>170</v>
      </c>
      <c r="H26" s="24"/>
    </row>
    <row r="27" spans="1:8" ht="16" x14ac:dyDescent="0.2">
      <c r="A27" s="27" t="s">
        <v>146</v>
      </c>
      <c r="B27" s="21">
        <v>5.89</v>
      </c>
      <c r="C27" s="21">
        <v>18.579999999999998</v>
      </c>
      <c r="D27" s="21">
        <v>10.07</v>
      </c>
      <c r="E27" s="21">
        <v>10.4</v>
      </c>
      <c r="F27" s="21">
        <v>17.8</v>
      </c>
      <c r="G27" s="21">
        <v>166.08</v>
      </c>
      <c r="H27" s="21">
        <v>228.82</v>
      </c>
    </row>
    <row r="28" spans="1:8" ht="16" x14ac:dyDescent="0.2">
      <c r="A28" s="22" t="s">
        <v>171</v>
      </c>
      <c r="B28" s="23">
        <v>1034.21</v>
      </c>
      <c r="C28" s="23">
        <v>245.85</v>
      </c>
      <c r="D28" s="23">
        <v>143.54</v>
      </c>
      <c r="E28" s="23">
        <v>112.36</v>
      </c>
      <c r="F28" s="23">
        <v>22.45</v>
      </c>
      <c r="G28" s="23">
        <v>73.239999999999995</v>
      </c>
      <c r="H28" s="23">
        <v>1631.65</v>
      </c>
    </row>
    <row r="30" spans="1:8" x14ac:dyDescent="0.2">
      <c r="A30" s="15" t="s">
        <v>172</v>
      </c>
      <c r="B30" s="15"/>
      <c r="C30" s="15"/>
      <c r="D30" s="15"/>
      <c r="E30" s="15"/>
      <c r="F30" s="15"/>
      <c r="G30" s="15"/>
      <c r="H30" s="15"/>
    </row>
    <row r="31" spans="1:8" x14ac:dyDescent="0.2">
      <c r="A31" s="16" t="s">
        <v>1</v>
      </c>
      <c r="B31" s="17" t="s">
        <v>153</v>
      </c>
      <c r="C31" s="17" t="s">
        <v>154</v>
      </c>
      <c r="D31" s="17" t="s">
        <v>155</v>
      </c>
      <c r="E31" s="17" t="s">
        <v>156</v>
      </c>
      <c r="F31" s="17" t="s">
        <v>157</v>
      </c>
      <c r="G31" s="17" t="s">
        <v>158</v>
      </c>
      <c r="H31" s="17" t="s">
        <v>159</v>
      </c>
    </row>
    <row r="32" spans="1:8" ht="16" x14ac:dyDescent="0.2">
      <c r="A32" s="27" t="s">
        <v>160</v>
      </c>
      <c r="B32" s="21">
        <v>1107.24</v>
      </c>
      <c r="C32" s="21">
        <v>353.59</v>
      </c>
      <c r="D32" s="21">
        <v>26.73</v>
      </c>
      <c r="E32" s="21">
        <v>44.91</v>
      </c>
      <c r="F32" s="21">
        <v>36.56</v>
      </c>
      <c r="G32" s="21">
        <v>51.61</v>
      </c>
      <c r="H32" s="21">
        <v>1620.64</v>
      </c>
    </row>
    <row r="33" spans="1:8" ht="16" x14ac:dyDescent="0.2">
      <c r="A33" s="27" t="s">
        <v>161</v>
      </c>
      <c r="B33" s="21">
        <v>0.31</v>
      </c>
      <c r="C33" s="21">
        <v>1.9</v>
      </c>
      <c r="D33" s="21">
        <v>2.2200000000000002</v>
      </c>
      <c r="E33" s="21">
        <v>11.88</v>
      </c>
      <c r="F33" s="21">
        <v>77.61</v>
      </c>
      <c r="G33" s="21">
        <v>26.76</v>
      </c>
      <c r="H33" s="21">
        <v>120.68</v>
      </c>
    </row>
    <row r="34" spans="1:8" ht="16" x14ac:dyDescent="0.2">
      <c r="A34" s="27" t="s">
        <v>162</v>
      </c>
      <c r="B34" s="24"/>
      <c r="C34" s="24"/>
      <c r="D34" s="24"/>
      <c r="E34" s="24"/>
      <c r="F34" s="24"/>
      <c r="G34" s="24"/>
      <c r="H34" s="24"/>
    </row>
    <row r="35" spans="1:8" ht="16" x14ac:dyDescent="0.2">
      <c r="A35" s="27" t="s">
        <v>163</v>
      </c>
      <c r="B35" s="24"/>
      <c r="C35" s="24"/>
      <c r="D35" s="24"/>
      <c r="E35" s="21">
        <v>2.02</v>
      </c>
      <c r="F35" s="24"/>
      <c r="G35" s="21">
        <v>53.03</v>
      </c>
      <c r="H35" s="21">
        <v>55.05</v>
      </c>
    </row>
    <row r="36" spans="1:8" ht="16" x14ac:dyDescent="0.2">
      <c r="A36" s="22" t="s">
        <v>67</v>
      </c>
      <c r="B36" s="23">
        <v>1107.55</v>
      </c>
      <c r="C36" s="23">
        <v>355.49</v>
      </c>
      <c r="D36" s="23">
        <v>28.95</v>
      </c>
      <c r="E36" s="23">
        <v>58.81</v>
      </c>
      <c r="F36" s="23">
        <v>114.17</v>
      </c>
      <c r="G36" s="23">
        <v>131.4</v>
      </c>
      <c r="H36" s="23">
        <v>1796.37</v>
      </c>
    </row>
    <row r="37" spans="1:8" ht="16" x14ac:dyDescent="0.2">
      <c r="A37" s="27" t="s">
        <v>164</v>
      </c>
      <c r="B37" s="24" t="s">
        <v>173</v>
      </c>
      <c r="C37" s="24" t="s">
        <v>174</v>
      </c>
      <c r="D37" s="24" t="s">
        <v>175</v>
      </c>
      <c r="E37" s="24" t="s">
        <v>176</v>
      </c>
      <c r="F37" s="24" t="s">
        <v>177</v>
      </c>
      <c r="G37" s="24" t="s">
        <v>174</v>
      </c>
      <c r="H37" s="24"/>
    </row>
    <row r="38" spans="1:8" ht="16" x14ac:dyDescent="0.2">
      <c r="A38" s="27" t="s">
        <v>146</v>
      </c>
      <c r="B38" s="21">
        <v>8.4700000000000006</v>
      </c>
      <c r="C38" s="21">
        <v>35.799999999999997</v>
      </c>
      <c r="D38" s="21">
        <v>4.74</v>
      </c>
      <c r="E38" s="21">
        <v>17.71</v>
      </c>
      <c r="F38" s="21">
        <v>79.260000000000005</v>
      </c>
      <c r="G38" s="21">
        <v>84.74</v>
      </c>
      <c r="H38" s="21">
        <v>230.72</v>
      </c>
    </row>
    <row r="39" spans="1:8" ht="16" x14ac:dyDescent="0.2">
      <c r="A39" s="22" t="s">
        <v>171</v>
      </c>
      <c r="B39" s="23">
        <v>1099.08</v>
      </c>
      <c r="C39" s="23">
        <v>319.69</v>
      </c>
      <c r="D39" s="23">
        <v>24.21</v>
      </c>
      <c r="E39" s="23">
        <v>41.1</v>
      </c>
      <c r="F39" s="23">
        <v>34.909999999999997</v>
      </c>
      <c r="G39" s="23">
        <v>46.66</v>
      </c>
      <c r="H39" s="23">
        <v>1565.65</v>
      </c>
    </row>
    <row r="41" spans="1:8" ht="32.75" customHeight="1" x14ac:dyDescent="0.2">
      <c r="A41" s="26"/>
      <c r="B41" s="26"/>
      <c r="C41" s="26"/>
      <c r="D41" s="26"/>
      <c r="E41" s="26"/>
      <c r="F41" s="26"/>
      <c r="G41" s="26"/>
      <c r="H41" s="26"/>
    </row>
  </sheetData>
  <mergeCells count="7">
    <mergeCell ref="A19:H19"/>
    <mergeCell ref="A30:H30"/>
    <mergeCell ref="A41:H41"/>
    <mergeCell ref="A1:G1"/>
    <mergeCell ref="A2:G2"/>
    <mergeCell ref="A5:G5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topLeftCell="A22" zoomScaleNormal="100" workbookViewId="0">
      <selection activeCell="F46" sqref="A1:XFD1048576"/>
    </sheetView>
  </sheetViews>
  <sheetFormatPr baseColWidth="10" defaultColWidth="8.6640625" defaultRowHeight="15" x14ac:dyDescent="0.2"/>
  <cols>
    <col min="1" max="1" width="32" style="13" customWidth="1"/>
    <col min="2" max="6" width="12" style="13" customWidth="1"/>
    <col min="7" max="7" width="14" style="13" customWidth="1"/>
    <col min="8" max="16384" width="8.6640625" style="13"/>
  </cols>
  <sheetData>
    <row r="1" spans="1:7" ht="18" x14ac:dyDescent="0.2">
      <c r="A1" s="12" t="s">
        <v>395</v>
      </c>
      <c r="B1" s="12"/>
      <c r="C1" s="12"/>
      <c r="D1" s="12"/>
      <c r="E1" s="12"/>
      <c r="F1" s="12"/>
      <c r="G1" s="12"/>
    </row>
    <row r="2" spans="1:7" x14ac:dyDescent="0.2">
      <c r="A2" s="14" t="s">
        <v>0</v>
      </c>
      <c r="B2" s="14"/>
      <c r="C2" s="14"/>
      <c r="D2" s="14"/>
      <c r="E2" s="14"/>
      <c r="F2" s="14"/>
      <c r="G2" s="14"/>
    </row>
    <row r="5" spans="1:7" x14ac:dyDescent="0.2">
      <c r="A5" s="15" t="s">
        <v>178</v>
      </c>
      <c r="B5" s="15"/>
      <c r="C5" s="15"/>
      <c r="D5" s="15"/>
      <c r="E5" s="15"/>
      <c r="F5" s="15"/>
      <c r="G5" s="15"/>
    </row>
    <row r="6" spans="1:7" ht="30" x14ac:dyDescent="0.2">
      <c r="A6" s="16" t="s">
        <v>1</v>
      </c>
      <c r="B6" s="17" t="s">
        <v>2</v>
      </c>
      <c r="C6" s="17" t="s">
        <v>3</v>
      </c>
    </row>
    <row r="7" spans="1:7" ht="31" x14ac:dyDescent="0.2">
      <c r="A7" s="18" t="s">
        <v>179</v>
      </c>
      <c r="B7" s="23">
        <v>1597.51</v>
      </c>
      <c r="C7" s="23">
        <v>1236.18</v>
      </c>
    </row>
    <row r="9" spans="1:7" x14ac:dyDescent="0.2">
      <c r="A9" s="15" t="s">
        <v>180</v>
      </c>
      <c r="B9" s="15"/>
      <c r="C9" s="15"/>
      <c r="D9" s="15"/>
      <c r="E9" s="15"/>
      <c r="F9" s="15"/>
      <c r="G9" s="15"/>
    </row>
    <row r="10" spans="1:7" ht="30" x14ac:dyDescent="0.2">
      <c r="A10" s="16" t="s">
        <v>1</v>
      </c>
      <c r="B10" s="17" t="s">
        <v>2</v>
      </c>
      <c r="C10" s="17" t="s">
        <v>3</v>
      </c>
    </row>
    <row r="11" spans="1:7" ht="31" x14ac:dyDescent="0.2">
      <c r="A11" s="27" t="s">
        <v>181</v>
      </c>
      <c r="B11" s="21">
        <v>16778.21</v>
      </c>
      <c r="C11" s="21">
        <v>12902.73</v>
      </c>
    </row>
    <row r="12" spans="1:7" ht="16" x14ac:dyDescent="0.2">
      <c r="A12" s="27" t="s">
        <v>182</v>
      </c>
      <c r="B12" s="21">
        <v>6735.57</v>
      </c>
      <c r="C12" s="21">
        <v>6462.2</v>
      </c>
    </row>
    <row r="13" spans="1:7" ht="16" x14ac:dyDescent="0.2">
      <c r="A13" s="22" t="s">
        <v>159</v>
      </c>
      <c r="B13" s="23">
        <v>23513.78</v>
      </c>
      <c r="C13" s="23">
        <v>19364.93</v>
      </c>
    </row>
    <row r="15" spans="1:7" x14ac:dyDescent="0.2">
      <c r="A15" s="15" t="s">
        <v>183</v>
      </c>
      <c r="B15" s="15"/>
      <c r="C15" s="15"/>
      <c r="D15" s="15"/>
      <c r="E15" s="15"/>
      <c r="F15" s="15"/>
      <c r="G15" s="15"/>
    </row>
    <row r="16" spans="1:7" ht="30" x14ac:dyDescent="0.2">
      <c r="A16" s="16" t="s">
        <v>1</v>
      </c>
      <c r="B16" s="17" t="s">
        <v>2</v>
      </c>
      <c r="C16" s="17" t="s">
        <v>3</v>
      </c>
    </row>
    <row r="17" spans="1:7" ht="31" x14ac:dyDescent="0.2">
      <c r="A17" s="27" t="s">
        <v>184</v>
      </c>
      <c r="B17" s="21">
        <v>1937.93</v>
      </c>
      <c r="C17" s="21">
        <v>1592.65</v>
      </c>
    </row>
    <row r="18" spans="1:7" ht="31" x14ac:dyDescent="0.2">
      <c r="A18" s="27" t="s">
        <v>185</v>
      </c>
      <c r="B18" s="21">
        <v>8.67</v>
      </c>
      <c r="C18" s="21">
        <v>11.5</v>
      </c>
    </row>
    <row r="19" spans="1:7" ht="46" x14ac:dyDescent="0.2">
      <c r="A19" s="27" t="s">
        <v>186</v>
      </c>
      <c r="B19" s="24"/>
      <c r="C19" s="24"/>
    </row>
    <row r="20" spans="1:7" ht="46" x14ac:dyDescent="0.2">
      <c r="A20" s="27" t="s">
        <v>187</v>
      </c>
      <c r="B20" s="21">
        <v>37.159999999999997</v>
      </c>
      <c r="C20" s="21">
        <v>32.93</v>
      </c>
    </row>
    <row r="21" spans="1:7" ht="31" x14ac:dyDescent="0.2">
      <c r="A21" s="27" t="s">
        <v>188</v>
      </c>
      <c r="B21" s="21">
        <v>45.83</v>
      </c>
      <c r="C21" s="21">
        <v>44.43</v>
      </c>
    </row>
    <row r="22" spans="1:7" ht="46" x14ac:dyDescent="0.2">
      <c r="A22" s="27" t="s">
        <v>189</v>
      </c>
      <c r="B22" s="21">
        <v>44.43</v>
      </c>
      <c r="C22" s="21">
        <v>51.67</v>
      </c>
    </row>
    <row r="24" spans="1:7" ht="22.25" customHeight="1" x14ac:dyDescent="0.2">
      <c r="A24" s="26" t="s">
        <v>190</v>
      </c>
      <c r="B24" s="26"/>
      <c r="C24" s="26"/>
    </row>
    <row r="26" spans="1:7" x14ac:dyDescent="0.2">
      <c r="A26" s="15" t="s">
        <v>191</v>
      </c>
      <c r="B26" s="15"/>
      <c r="C26" s="15"/>
      <c r="D26" s="15"/>
      <c r="E26" s="15"/>
      <c r="F26" s="15"/>
      <c r="G26" s="15"/>
    </row>
    <row r="27" spans="1:7" x14ac:dyDescent="0.2">
      <c r="A27" s="16" t="s">
        <v>1</v>
      </c>
      <c r="B27" s="17" t="s">
        <v>153</v>
      </c>
      <c r="C27" s="17" t="s">
        <v>192</v>
      </c>
      <c r="D27" s="17" t="s">
        <v>156</v>
      </c>
      <c r="E27" s="17" t="s">
        <v>157</v>
      </c>
      <c r="F27" s="17" t="s">
        <v>158</v>
      </c>
      <c r="G27" s="17" t="s">
        <v>159</v>
      </c>
    </row>
    <row r="28" spans="1:7" ht="31" x14ac:dyDescent="0.2">
      <c r="A28" s="27" t="s">
        <v>193</v>
      </c>
      <c r="B28" s="21">
        <v>1117.1500000000001</v>
      </c>
      <c r="C28" s="21">
        <v>9.6199999999999992</v>
      </c>
      <c r="D28" s="24"/>
      <c r="E28" s="24"/>
      <c r="F28" s="24"/>
      <c r="G28" s="21">
        <v>1126.77</v>
      </c>
    </row>
    <row r="29" spans="1:7" ht="16" x14ac:dyDescent="0.2">
      <c r="A29" s="27" t="s">
        <v>194</v>
      </c>
      <c r="B29" s="21">
        <v>17658.95</v>
      </c>
      <c r="C29" s="21">
        <v>1972.32</v>
      </c>
      <c r="D29" s="21">
        <v>40.22</v>
      </c>
      <c r="E29" s="21">
        <v>30.35</v>
      </c>
      <c r="F29" s="21">
        <v>36.69</v>
      </c>
      <c r="G29" s="21">
        <v>19738.53</v>
      </c>
    </row>
    <row r="30" spans="1:7" ht="31" x14ac:dyDescent="0.2">
      <c r="A30" s="27" t="s">
        <v>195</v>
      </c>
      <c r="B30" s="24"/>
      <c r="C30" s="24"/>
      <c r="D30" s="24"/>
      <c r="E30" s="24"/>
      <c r="F30" s="24"/>
      <c r="G30" s="24"/>
    </row>
    <row r="31" spans="1:7" ht="16" x14ac:dyDescent="0.2">
      <c r="A31" s="27" t="s">
        <v>196</v>
      </c>
      <c r="B31" s="24"/>
      <c r="C31" s="24"/>
      <c r="D31" s="24"/>
      <c r="E31" s="24"/>
      <c r="F31" s="21">
        <v>18.170000000000002</v>
      </c>
      <c r="G31" s="21">
        <v>18.170000000000002</v>
      </c>
    </row>
    <row r="32" spans="1:7" ht="16" x14ac:dyDescent="0.2">
      <c r="A32" s="22" t="s">
        <v>67</v>
      </c>
      <c r="B32" s="23">
        <v>18776.099999999999</v>
      </c>
      <c r="C32" s="23">
        <v>1981.94</v>
      </c>
      <c r="D32" s="23">
        <v>40.22</v>
      </c>
      <c r="E32" s="23">
        <v>30.35</v>
      </c>
      <c r="F32" s="23">
        <v>54.86</v>
      </c>
      <c r="G32" s="23">
        <v>20883.47</v>
      </c>
    </row>
    <row r="33" spans="1:7" ht="16" x14ac:dyDescent="0.2">
      <c r="A33" s="27" t="s">
        <v>197</v>
      </c>
      <c r="B33" s="24"/>
      <c r="C33" s="24"/>
      <c r="D33" s="24"/>
      <c r="E33" s="24"/>
      <c r="F33" s="24"/>
      <c r="G33" s="21">
        <v>4227.82</v>
      </c>
    </row>
    <row r="34" spans="1:7" ht="16" x14ac:dyDescent="0.2">
      <c r="A34" s="22" t="s">
        <v>198</v>
      </c>
      <c r="B34" s="19"/>
      <c r="C34" s="19"/>
      <c r="D34" s="19"/>
      <c r="E34" s="19"/>
      <c r="F34" s="19"/>
      <c r="G34" s="23">
        <v>25111.29</v>
      </c>
    </row>
    <row r="36" spans="1:7" ht="22.25" customHeight="1" x14ac:dyDescent="0.2">
      <c r="A36" s="26"/>
      <c r="B36" s="26"/>
      <c r="C36" s="26"/>
      <c r="D36" s="26"/>
      <c r="E36" s="26"/>
      <c r="F36" s="26"/>
      <c r="G36" s="26"/>
    </row>
  </sheetData>
  <mergeCells count="8">
    <mergeCell ref="A15:G15"/>
    <mergeCell ref="A24:C24"/>
    <mergeCell ref="A26:G26"/>
    <mergeCell ref="A36:G36"/>
    <mergeCell ref="A1:G1"/>
    <mergeCell ref="A2:G2"/>
    <mergeCell ref="A5:G5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zoomScaleNormal="100" workbookViewId="0">
      <selection activeCell="E26" sqref="A1:XFD1048576"/>
    </sheetView>
  </sheetViews>
  <sheetFormatPr baseColWidth="10" defaultColWidth="8.6640625" defaultRowHeight="15" x14ac:dyDescent="0.2"/>
  <cols>
    <col min="1" max="1" width="52" style="13" customWidth="1"/>
    <col min="2" max="3" width="18" style="13" customWidth="1"/>
    <col min="4" max="16384" width="8.6640625" style="13"/>
  </cols>
  <sheetData>
    <row r="1" spans="1:7" ht="18" x14ac:dyDescent="0.2">
      <c r="A1" s="12" t="s">
        <v>396</v>
      </c>
      <c r="B1" s="12"/>
      <c r="C1" s="12"/>
      <c r="D1" s="12"/>
      <c r="E1" s="12"/>
      <c r="F1" s="12"/>
      <c r="G1" s="12"/>
    </row>
    <row r="2" spans="1:7" x14ac:dyDescent="0.2">
      <c r="A2" s="14" t="s">
        <v>0</v>
      </c>
      <c r="B2" s="14"/>
      <c r="C2" s="14"/>
      <c r="D2" s="14"/>
      <c r="E2" s="14"/>
      <c r="F2" s="14"/>
      <c r="G2" s="14"/>
    </row>
    <row r="5" spans="1:7" x14ac:dyDescent="0.2">
      <c r="A5" s="15" t="s">
        <v>199</v>
      </c>
      <c r="B5" s="15"/>
      <c r="C5" s="15"/>
      <c r="D5" s="15"/>
      <c r="E5" s="15"/>
      <c r="F5" s="15"/>
      <c r="G5" s="15"/>
    </row>
    <row r="6" spans="1:7" x14ac:dyDescent="0.2">
      <c r="A6" s="16" t="s">
        <v>1</v>
      </c>
      <c r="B6" s="17" t="s">
        <v>2</v>
      </c>
      <c r="C6" s="17" t="s">
        <v>3</v>
      </c>
    </row>
    <row r="7" spans="1:7" ht="16" x14ac:dyDescent="0.2">
      <c r="A7" s="27" t="s">
        <v>200</v>
      </c>
      <c r="B7" s="21">
        <v>10329.280000000001</v>
      </c>
      <c r="C7" s="21">
        <v>10385.280000000001</v>
      </c>
    </row>
    <row r="8" spans="1:7" ht="16" x14ac:dyDescent="0.2">
      <c r="A8" s="27" t="s">
        <v>201</v>
      </c>
      <c r="B8" s="21">
        <v>8211.86</v>
      </c>
      <c r="C8" s="21">
        <v>7836.9</v>
      </c>
    </row>
    <row r="9" spans="1:7" ht="16" x14ac:dyDescent="0.2">
      <c r="A9" s="27" t="s">
        <v>202</v>
      </c>
      <c r="B9" s="21">
        <v>31.23</v>
      </c>
      <c r="C9" s="21">
        <v>41.16</v>
      </c>
    </row>
    <row r="10" spans="1:7" ht="16" x14ac:dyDescent="0.2">
      <c r="A10" s="27" t="s">
        <v>203</v>
      </c>
      <c r="B10" s="21">
        <v>4486.79</v>
      </c>
      <c r="C10" s="21">
        <v>4670.51</v>
      </c>
    </row>
    <row r="11" spans="1:7" ht="16" x14ac:dyDescent="0.2">
      <c r="A11" s="22" t="s">
        <v>204</v>
      </c>
      <c r="B11" s="23">
        <v>23059.16</v>
      </c>
      <c r="C11" s="23">
        <v>22933.85</v>
      </c>
    </row>
    <row r="13" spans="1:7" x14ac:dyDescent="0.2">
      <c r="A13" s="15" t="s">
        <v>205</v>
      </c>
      <c r="B13" s="15"/>
      <c r="C13" s="15"/>
      <c r="D13" s="15"/>
      <c r="E13" s="15"/>
      <c r="F13" s="15"/>
      <c r="G13" s="15"/>
    </row>
    <row r="14" spans="1:7" x14ac:dyDescent="0.2">
      <c r="A14" s="16" t="s">
        <v>1</v>
      </c>
      <c r="B14" s="17" t="s">
        <v>2</v>
      </c>
      <c r="C14" s="17" t="s">
        <v>3</v>
      </c>
    </row>
    <row r="15" spans="1:7" ht="16" x14ac:dyDescent="0.2">
      <c r="A15" s="27" t="s">
        <v>206</v>
      </c>
      <c r="B15" s="21">
        <v>2312.89</v>
      </c>
      <c r="C15" s="21">
        <v>1678.11</v>
      </c>
    </row>
    <row r="16" spans="1:7" ht="16" x14ac:dyDescent="0.2">
      <c r="A16" s="27" t="s">
        <v>207</v>
      </c>
      <c r="B16" s="21">
        <v>2.83</v>
      </c>
      <c r="C16" s="21">
        <v>10.039999999999999</v>
      </c>
    </row>
    <row r="17" spans="1:7" ht="16" x14ac:dyDescent="0.2">
      <c r="A17" s="27" t="s">
        <v>208</v>
      </c>
      <c r="B17" s="21">
        <v>47.82</v>
      </c>
      <c r="C17" s="21">
        <v>108.55</v>
      </c>
    </row>
    <row r="18" spans="1:7" ht="16" x14ac:dyDescent="0.2">
      <c r="A18" s="22" t="s">
        <v>209</v>
      </c>
      <c r="B18" s="23">
        <v>2363.54</v>
      </c>
      <c r="C18" s="23">
        <v>1796.7</v>
      </c>
    </row>
    <row r="20" spans="1:7" ht="22.25" customHeight="1" x14ac:dyDescent="0.2">
      <c r="A20" s="26" t="s">
        <v>210</v>
      </c>
      <c r="B20" s="26"/>
      <c r="C20" s="26"/>
    </row>
    <row r="22" spans="1:7" x14ac:dyDescent="0.2">
      <c r="A22" s="15" t="s">
        <v>211</v>
      </c>
      <c r="B22" s="15"/>
      <c r="C22" s="15"/>
      <c r="D22" s="15"/>
      <c r="E22" s="15"/>
      <c r="F22" s="15"/>
      <c r="G22" s="15"/>
    </row>
    <row r="23" spans="1:7" x14ac:dyDescent="0.2">
      <c r="A23" s="16" t="s">
        <v>1</v>
      </c>
      <c r="B23" s="17" t="s">
        <v>212</v>
      </c>
      <c r="C23" s="17" t="s">
        <v>213</v>
      </c>
    </row>
    <row r="24" spans="1:7" ht="46" x14ac:dyDescent="0.2">
      <c r="A24" s="27" t="s">
        <v>214</v>
      </c>
      <c r="B24" s="21">
        <v>259.79000000000002</v>
      </c>
      <c r="C24" s="21">
        <v>199.5</v>
      </c>
    </row>
    <row r="25" spans="1:7" ht="31" x14ac:dyDescent="0.2">
      <c r="A25" s="27" t="s">
        <v>215</v>
      </c>
      <c r="B25" s="21">
        <v>54.37</v>
      </c>
      <c r="C25" s="21">
        <v>17.920000000000002</v>
      </c>
    </row>
  </sheetData>
  <mergeCells count="6">
    <mergeCell ref="A20:C20"/>
    <mergeCell ref="A22:G22"/>
    <mergeCell ref="A1:G1"/>
    <mergeCell ref="A2:G2"/>
    <mergeCell ref="A5:G5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0"/>
  <sheetViews>
    <sheetView topLeftCell="A81" zoomScaleNormal="100" workbookViewId="0">
      <selection activeCell="E120" sqref="E120"/>
    </sheetView>
  </sheetViews>
  <sheetFormatPr baseColWidth="10" defaultColWidth="8.6640625" defaultRowHeight="15" x14ac:dyDescent="0.2"/>
  <cols>
    <col min="1" max="1" width="42" style="13" customWidth="1"/>
    <col min="2" max="3" width="18" style="13" customWidth="1"/>
    <col min="4" max="4" width="16" style="13" customWidth="1"/>
    <col min="5" max="16384" width="8.6640625" style="13"/>
  </cols>
  <sheetData>
    <row r="1" spans="1:7" ht="18" x14ac:dyDescent="0.2">
      <c r="A1" s="12" t="s">
        <v>397</v>
      </c>
      <c r="B1" s="12"/>
      <c r="C1" s="12"/>
      <c r="D1" s="12"/>
      <c r="E1" s="12"/>
      <c r="F1" s="12"/>
      <c r="G1" s="12"/>
    </row>
    <row r="2" spans="1:7" x14ac:dyDescent="0.2">
      <c r="A2" s="14" t="s">
        <v>0</v>
      </c>
      <c r="B2" s="14"/>
      <c r="C2" s="14"/>
      <c r="D2" s="14"/>
      <c r="E2" s="14"/>
      <c r="F2" s="14"/>
      <c r="G2" s="14"/>
    </row>
    <row r="5" spans="1:7" x14ac:dyDescent="0.2">
      <c r="A5" s="15" t="s">
        <v>216</v>
      </c>
      <c r="B5" s="15"/>
      <c r="C5" s="15"/>
      <c r="D5" s="15"/>
      <c r="E5" s="15"/>
      <c r="F5" s="15"/>
      <c r="G5" s="15"/>
    </row>
    <row r="6" spans="1:7" x14ac:dyDescent="0.2">
      <c r="A6" s="16" t="s">
        <v>1</v>
      </c>
      <c r="B6" s="17" t="s">
        <v>2</v>
      </c>
      <c r="C6" s="17" t="s">
        <v>3</v>
      </c>
    </row>
    <row r="7" spans="1:7" ht="16" x14ac:dyDescent="0.2">
      <c r="A7" s="18" t="s">
        <v>217</v>
      </c>
      <c r="B7" s="19"/>
      <c r="C7" s="19"/>
    </row>
    <row r="8" spans="1:7" ht="16" x14ac:dyDescent="0.2">
      <c r="A8" s="20" t="s">
        <v>218</v>
      </c>
      <c r="B8" s="21">
        <v>11460.64</v>
      </c>
      <c r="C8" s="21">
        <v>15156.26</v>
      </c>
    </row>
    <row r="9" spans="1:7" ht="31" x14ac:dyDescent="0.2">
      <c r="A9" s="20" t="s">
        <v>219</v>
      </c>
      <c r="B9" s="21">
        <v>39205.81</v>
      </c>
      <c r="C9" s="21">
        <v>35884.720000000001</v>
      </c>
    </row>
    <row r="10" spans="1:7" ht="16" x14ac:dyDescent="0.2">
      <c r="A10" s="22" t="s">
        <v>220</v>
      </c>
      <c r="B10" s="23">
        <v>50666.45</v>
      </c>
      <c r="C10" s="23">
        <v>51040.98</v>
      </c>
    </row>
    <row r="12" spans="1:7" x14ac:dyDescent="0.2">
      <c r="A12" s="15" t="s">
        <v>221</v>
      </c>
      <c r="B12" s="15"/>
      <c r="C12" s="15"/>
      <c r="D12" s="15"/>
      <c r="E12" s="15"/>
      <c r="F12" s="15"/>
      <c r="G12" s="15"/>
    </row>
    <row r="13" spans="1:7" x14ac:dyDescent="0.2">
      <c r="A13" s="16" t="s">
        <v>1</v>
      </c>
      <c r="B13" s="17" t="s">
        <v>2</v>
      </c>
      <c r="C13" s="17" t="s">
        <v>3</v>
      </c>
    </row>
    <row r="14" spans="1:7" ht="16" x14ac:dyDescent="0.2">
      <c r="A14" s="18" t="s">
        <v>222</v>
      </c>
      <c r="B14" s="19"/>
      <c r="C14" s="19"/>
    </row>
    <row r="15" spans="1:7" ht="16" x14ac:dyDescent="0.2">
      <c r="A15" s="20" t="s">
        <v>223</v>
      </c>
      <c r="B15" s="21">
        <v>6.15</v>
      </c>
      <c r="C15" s="21">
        <v>0.82</v>
      </c>
    </row>
    <row r="16" spans="1:7" ht="31" x14ac:dyDescent="0.2">
      <c r="A16" s="20" t="s">
        <v>224</v>
      </c>
      <c r="B16" s="24"/>
      <c r="C16" s="21">
        <v>2907.12</v>
      </c>
    </row>
    <row r="17" spans="1:7" ht="16" x14ac:dyDescent="0.2">
      <c r="A17" s="25" t="s">
        <v>225</v>
      </c>
      <c r="B17" s="23">
        <v>6.15</v>
      </c>
      <c r="C17" s="23">
        <v>2907.94</v>
      </c>
    </row>
    <row r="18" spans="1:7" ht="16" x14ac:dyDescent="0.2">
      <c r="A18" s="18" t="s">
        <v>226</v>
      </c>
      <c r="B18" s="19"/>
      <c r="C18" s="19"/>
    </row>
    <row r="19" spans="1:7" ht="16" x14ac:dyDescent="0.2">
      <c r="A19" s="20" t="s">
        <v>227</v>
      </c>
      <c r="B19" s="21">
        <v>5400</v>
      </c>
      <c r="C19" s="21">
        <v>1598.47</v>
      </c>
    </row>
    <row r="20" spans="1:7" ht="16" x14ac:dyDescent="0.2">
      <c r="A20" s="20" t="s">
        <v>228</v>
      </c>
      <c r="B20" s="21">
        <v>5119.51</v>
      </c>
      <c r="C20" s="21">
        <v>2161.04</v>
      </c>
    </row>
    <row r="21" spans="1:7" ht="16" x14ac:dyDescent="0.2">
      <c r="A21" s="20" t="s">
        <v>229</v>
      </c>
      <c r="B21" s="21">
        <v>3512.07</v>
      </c>
      <c r="C21" s="21">
        <v>1972.99</v>
      </c>
    </row>
    <row r="22" spans="1:7" ht="16" x14ac:dyDescent="0.2">
      <c r="A22" s="25" t="s">
        <v>230</v>
      </c>
      <c r="B22" s="23">
        <v>14031.58</v>
      </c>
      <c r="C22" s="23">
        <v>5732.5</v>
      </c>
    </row>
    <row r="23" spans="1:7" ht="16" x14ac:dyDescent="0.2">
      <c r="A23" s="22" t="s">
        <v>231</v>
      </c>
      <c r="B23" s="23">
        <v>14037.73</v>
      </c>
      <c r="C23" s="23">
        <v>8640.44</v>
      </c>
    </row>
    <row r="26" spans="1:7" x14ac:dyDescent="0.2">
      <c r="A26" s="15" t="s">
        <v>232</v>
      </c>
      <c r="B26" s="15"/>
      <c r="C26" s="15"/>
      <c r="D26" s="15"/>
      <c r="E26" s="15"/>
      <c r="F26" s="15"/>
      <c r="G26" s="15"/>
    </row>
    <row r="27" spans="1:7" ht="30" x14ac:dyDescent="0.2">
      <c r="A27" s="16" t="s">
        <v>233</v>
      </c>
      <c r="B27" s="17" t="s">
        <v>234</v>
      </c>
      <c r="C27" s="17" t="s">
        <v>235</v>
      </c>
      <c r="D27" s="17" t="s">
        <v>236</v>
      </c>
    </row>
    <row r="28" spans="1:7" ht="16" x14ac:dyDescent="0.2">
      <c r="A28" s="27" t="s">
        <v>237</v>
      </c>
      <c r="B28" s="24" t="s">
        <v>238</v>
      </c>
      <c r="C28" s="24" t="s">
        <v>239</v>
      </c>
      <c r="D28" s="24" t="s">
        <v>240</v>
      </c>
    </row>
    <row r="29" spans="1:7" ht="16" x14ac:dyDescent="0.2">
      <c r="A29" s="27" t="s">
        <v>241</v>
      </c>
      <c r="B29" s="24" t="s">
        <v>242</v>
      </c>
      <c r="C29" s="24" t="s">
        <v>239</v>
      </c>
      <c r="D29" s="24" t="s">
        <v>243</v>
      </c>
    </row>
    <row r="30" spans="1:7" ht="16" x14ac:dyDescent="0.2">
      <c r="A30" s="27" t="s">
        <v>244</v>
      </c>
      <c r="B30" s="24" t="s">
        <v>245</v>
      </c>
      <c r="C30" s="24" t="s">
        <v>246</v>
      </c>
      <c r="D30" s="24" t="s">
        <v>247</v>
      </c>
    </row>
    <row r="31" spans="1:7" ht="16" x14ac:dyDescent="0.2">
      <c r="A31" s="27" t="s">
        <v>248</v>
      </c>
      <c r="B31" s="24" t="s">
        <v>249</v>
      </c>
      <c r="C31" s="24" t="s">
        <v>246</v>
      </c>
      <c r="D31" s="24" t="s">
        <v>250</v>
      </c>
    </row>
    <row r="32" spans="1:7" ht="16" x14ac:dyDescent="0.2">
      <c r="A32" s="27" t="s">
        <v>251</v>
      </c>
      <c r="B32" s="24" t="s">
        <v>252</v>
      </c>
      <c r="C32" s="24" t="s">
        <v>239</v>
      </c>
      <c r="D32" s="24" t="s">
        <v>253</v>
      </c>
    </row>
    <row r="33" spans="1:4" ht="16" x14ac:dyDescent="0.2">
      <c r="A33" s="27" t="s">
        <v>254</v>
      </c>
      <c r="B33" s="24" t="s">
        <v>255</v>
      </c>
      <c r="C33" s="24" t="s">
        <v>246</v>
      </c>
      <c r="D33" s="24" t="s">
        <v>256</v>
      </c>
    </row>
    <row r="34" spans="1:4" ht="16" x14ac:dyDescent="0.2">
      <c r="A34" s="27" t="s">
        <v>257</v>
      </c>
      <c r="B34" s="24" t="s">
        <v>258</v>
      </c>
      <c r="C34" s="24" t="s">
        <v>239</v>
      </c>
      <c r="D34" s="24" t="s">
        <v>259</v>
      </c>
    </row>
    <row r="36" spans="1:4" x14ac:dyDescent="0.2">
      <c r="A36" s="15" t="s">
        <v>260</v>
      </c>
      <c r="B36" s="15"/>
      <c r="C36" s="15"/>
      <c r="D36" s="15"/>
    </row>
    <row r="37" spans="1:4" ht="30" x14ac:dyDescent="0.2">
      <c r="A37" s="16" t="s">
        <v>261</v>
      </c>
      <c r="B37" s="17" t="s">
        <v>262</v>
      </c>
      <c r="C37" s="17" t="s">
        <v>263</v>
      </c>
      <c r="D37" s="17" t="s">
        <v>264</v>
      </c>
    </row>
    <row r="38" spans="1:4" ht="16" x14ac:dyDescent="0.2">
      <c r="A38" s="27" t="s">
        <v>265</v>
      </c>
      <c r="B38" s="21">
        <v>956</v>
      </c>
      <c r="C38" s="21">
        <v>1320</v>
      </c>
      <c r="D38" s="24" t="s">
        <v>266</v>
      </c>
    </row>
    <row r="39" spans="1:4" ht="16" x14ac:dyDescent="0.2">
      <c r="A39" s="27" t="s">
        <v>267</v>
      </c>
      <c r="B39" s="21">
        <v>1000</v>
      </c>
      <c r="C39" s="21">
        <v>1000</v>
      </c>
      <c r="D39" s="24" t="s">
        <v>268</v>
      </c>
    </row>
    <row r="40" spans="1:4" ht="16" x14ac:dyDescent="0.2">
      <c r="A40" s="27" t="s">
        <v>269</v>
      </c>
      <c r="B40" s="21">
        <v>7113.56</v>
      </c>
      <c r="C40" s="21">
        <v>6411</v>
      </c>
      <c r="D40" s="24" t="s">
        <v>270</v>
      </c>
    </row>
    <row r="41" spans="1:4" ht="16" x14ac:dyDescent="0.2">
      <c r="A41" s="27" t="s">
        <v>271</v>
      </c>
      <c r="B41" s="21">
        <v>500</v>
      </c>
      <c r="C41" s="21">
        <v>500</v>
      </c>
      <c r="D41" s="24" t="s">
        <v>272</v>
      </c>
    </row>
    <row r="42" spans="1:4" ht="16" x14ac:dyDescent="0.2">
      <c r="A42" s="27" t="s">
        <v>273</v>
      </c>
      <c r="B42" s="21">
        <v>100</v>
      </c>
      <c r="C42" s="21">
        <v>100</v>
      </c>
      <c r="D42" s="24" t="s">
        <v>274</v>
      </c>
    </row>
    <row r="43" spans="1:4" ht="16" x14ac:dyDescent="0.2">
      <c r="A43" s="27" t="s">
        <v>275</v>
      </c>
      <c r="B43" s="21">
        <v>475</v>
      </c>
      <c r="C43" s="24"/>
      <c r="D43" s="24" t="s">
        <v>276</v>
      </c>
    </row>
    <row r="44" spans="1:4" ht="16" x14ac:dyDescent="0.2">
      <c r="A44" s="27" t="s">
        <v>277</v>
      </c>
      <c r="B44" s="21">
        <v>400</v>
      </c>
      <c r="C44" s="24"/>
      <c r="D44" s="24" t="s">
        <v>278</v>
      </c>
    </row>
    <row r="45" spans="1:4" ht="16" x14ac:dyDescent="0.2">
      <c r="A45" s="27" t="s">
        <v>279</v>
      </c>
      <c r="B45" s="21">
        <v>272.25</v>
      </c>
      <c r="C45" s="24"/>
      <c r="D45" s="24" t="s">
        <v>280</v>
      </c>
    </row>
    <row r="46" spans="1:4" ht="16" x14ac:dyDescent="0.2">
      <c r="A46" s="27" t="s">
        <v>281</v>
      </c>
      <c r="B46" s="21">
        <v>1500</v>
      </c>
      <c r="C46" s="24"/>
      <c r="D46" s="24" t="s">
        <v>282</v>
      </c>
    </row>
    <row r="47" spans="1:4" ht="16" x14ac:dyDescent="0.2">
      <c r="A47" s="27" t="s">
        <v>283</v>
      </c>
      <c r="B47" s="21">
        <v>1000</v>
      </c>
      <c r="C47" s="24"/>
      <c r="D47" s="24" t="s">
        <v>284</v>
      </c>
    </row>
    <row r="48" spans="1:4" ht="16" x14ac:dyDescent="0.2">
      <c r="A48" s="27" t="s">
        <v>285</v>
      </c>
      <c r="B48" s="21">
        <v>595</v>
      </c>
      <c r="C48" s="21">
        <v>595</v>
      </c>
      <c r="D48" s="24" t="s">
        <v>286</v>
      </c>
    </row>
    <row r="49" spans="1:4" ht="16" x14ac:dyDescent="0.2">
      <c r="A49" s="27" t="s">
        <v>287</v>
      </c>
      <c r="B49" s="21">
        <v>1500</v>
      </c>
      <c r="C49" s="24"/>
      <c r="D49" s="24" t="s">
        <v>288</v>
      </c>
    </row>
    <row r="50" spans="1:4" ht="16" x14ac:dyDescent="0.2">
      <c r="A50" s="27" t="s">
        <v>289</v>
      </c>
      <c r="B50" s="21">
        <v>291</v>
      </c>
      <c r="C50" s="21">
        <v>294</v>
      </c>
      <c r="D50" s="24" t="s">
        <v>290</v>
      </c>
    </row>
    <row r="51" spans="1:4" ht="16" x14ac:dyDescent="0.2">
      <c r="A51" s="27" t="s">
        <v>291</v>
      </c>
      <c r="B51" s="21">
        <v>372</v>
      </c>
      <c r="C51" s="21">
        <v>380</v>
      </c>
      <c r="D51" s="24" t="s">
        <v>292</v>
      </c>
    </row>
    <row r="52" spans="1:4" ht="16" x14ac:dyDescent="0.2">
      <c r="A52" s="27" t="s">
        <v>293</v>
      </c>
      <c r="B52" s="21">
        <v>558</v>
      </c>
      <c r="C52" s="21">
        <v>570</v>
      </c>
      <c r="D52" s="24" t="s">
        <v>292</v>
      </c>
    </row>
    <row r="53" spans="1:4" ht="16" x14ac:dyDescent="0.2">
      <c r="A53" s="27" t="s">
        <v>294</v>
      </c>
      <c r="B53" s="21">
        <v>465</v>
      </c>
      <c r="C53" s="21">
        <v>475</v>
      </c>
      <c r="D53" s="24" t="s">
        <v>292</v>
      </c>
    </row>
    <row r="54" spans="1:4" ht="16" x14ac:dyDescent="0.2">
      <c r="A54" s="27" t="s">
        <v>295</v>
      </c>
      <c r="B54" s="21">
        <v>930</v>
      </c>
      <c r="C54" s="21">
        <v>950</v>
      </c>
      <c r="D54" s="24" t="s">
        <v>292</v>
      </c>
    </row>
    <row r="55" spans="1:4" ht="16" x14ac:dyDescent="0.2">
      <c r="A55" s="27" t="s">
        <v>296</v>
      </c>
      <c r="B55" s="21">
        <v>1960</v>
      </c>
      <c r="C55" s="21">
        <v>2000</v>
      </c>
      <c r="D55" s="24" t="s">
        <v>297</v>
      </c>
    </row>
    <row r="56" spans="1:4" ht="16" x14ac:dyDescent="0.2">
      <c r="A56" s="27" t="s">
        <v>298</v>
      </c>
      <c r="B56" s="21">
        <v>336</v>
      </c>
      <c r="C56" s="21">
        <v>343</v>
      </c>
      <c r="D56" s="24" t="s">
        <v>299</v>
      </c>
    </row>
    <row r="57" spans="1:4" ht="16" x14ac:dyDescent="0.2">
      <c r="A57" s="27" t="s">
        <v>300</v>
      </c>
      <c r="B57" s="21">
        <v>768</v>
      </c>
      <c r="C57" s="21">
        <v>784</v>
      </c>
      <c r="D57" s="24" t="s">
        <v>299</v>
      </c>
    </row>
    <row r="58" spans="1:4" ht="16" x14ac:dyDescent="0.2">
      <c r="A58" s="27" t="s">
        <v>301</v>
      </c>
      <c r="B58" s="21">
        <v>816</v>
      </c>
      <c r="C58" s="21">
        <v>833</v>
      </c>
      <c r="D58" s="24" t="s">
        <v>299</v>
      </c>
    </row>
    <row r="59" spans="1:4" ht="16" x14ac:dyDescent="0.2">
      <c r="A59" s="27" t="s">
        <v>302</v>
      </c>
      <c r="B59" s="21">
        <v>1000</v>
      </c>
      <c r="C59" s="24"/>
      <c r="D59" s="24" t="s">
        <v>303</v>
      </c>
    </row>
    <row r="60" spans="1:4" ht="16" x14ac:dyDescent="0.2">
      <c r="A60" s="27" t="s">
        <v>304</v>
      </c>
      <c r="B60" s="21">
        <v>400</v>
      </c>
      <c r="C60" s="21">
        <v>400</v>
      </c>
      <c r="D60" s="24" t="s">
        <v>305</v>
      </c>
    </row>
    <row r="61" spans="1:4" ht="16" x14ac:dyDescent="0.2">
      <c r="A61" s="27" t="s">
        <v>306</v>
      </c>
      <c r="B61" s="21">
        <v>465</v>
      </c>
      <c r="C61" s="21">
        <v>475</v>
      </c>
      <c r="D61" s="24" t="s">
        <v>307</v>
      </c>
    </row>
    <row r="62" spans="1:4" ht="16" x14ac:dyDescent="0.2">
      <c r="A62" s="27" t="s">
        <v>308</v>
      </c>
      <c r="B62" s="21">
        <v>186</v>
      </c>
      <c r="C62" s="21">
        <v>190</v>
      </c>
      <c r="D62" s="24" t="s">
        <v>309</v>
      </c>
    </row>
    <row r="63" spans="1:4" ht="16" x14ac:dyDescent="0.2">
      <c r="A63" s="27" t="s">
        <v>310</v>
      </c>
      <c r="B63" s="21">
        <v>511.5</v>
      </c>
      <c r="C63" s="21">
        <v>522.5</v>
      </c>
      <c r="D63" s="24" t="s">
        <v>309</v>
      </c>
    </row>
    <row r="64" spans="1:4" ht="16" x14ac:dyDescent="0.2">
      <c r="A64" s="27" t="s">
        <v>311</v>
      </c>
      <c r="B64" s="21">
        <v>485</v>
      </c>
      <c r="C64" s="21">
        <v>495</v>
      </c>
      <c r="D64" s="24" t="s">
        <v>312</v>
      </c>
    </row>
    <row r="65" spans="1:4" ht="16" x14ac:dyDescent="0.2">
      <c r="A65" s="27" t="s">
        <v>313</v>
      </c>
      <c r="B65" s="21">
        <v>686</v>
      </c>
      <c r="C65" s="21">
        <v>700</v>
      </c>
      <c r="D65" s="24" t="s">
        <v>314</v>
      </c>
    </row>
    <row r="66" spans="1:4" ht="16" x14ac:dyDescent="0.2">
      <c r="A66" s="27" t="s">
        <v>315</v>
      </c>
      <c r="B66" s="21">
        <v>2910</v>
      </c>
      <c r="C66" s="21">
        <v>2970</v>
      </c>
      <c r="D66" s="24" t="s">
        <v>316</v>
      </c>
    </row>
    <row r="67" spans="1:4" ht="16" x14ac:dyDescent="0.2">
      <c r="A67" s="27" t="s">
        <v>317</v>
      </c>
      <c r="B67" s="21">
        <v>350</v>
      </c>
      <c r="C67" s="21">
        <v>400</v>
      </c>
      <c r="D67" s="24" t="s">
        <v>318</v>
      </c>
    </row>
    <row r="68" spans="1:4" ht="16" x14ac:dyDescent="0.2">
      <c r="A68" s="27" t="s">
        <v>319</v>
      </c>
      <c r="B68" s="21">
        <v>360</v>
      </c>
      <c r="C68" s="21">
        <v>520</v>
      </c>
      <c r="D68" s="24" t="s">
        <v>320</v>
      </c>
    </row>
    <row r="69" spans="1:4" ht="16" x14ac:dyDescent="0.2">
      <c r="A69" s="27" t="s">
        <v>321</v>
      </c>
      <c r="B69" s="21">
        <v>658</v>
      </c>
      <c r="C69" s="21">
        <v>686</v>
      </c>
      <c r="D69" s="24" t="s">
        <v>322</v>
      </c>
    </row>
    <row r="70" spans="1:4" ht="16" x14ac:dyDescent="0.2">
      <c r="A70" s="27" t="s">
        <v>323</v>
      </c>
      <c r="B70" s="21">
        <v>495</v>
      </c>
      <c r="C70" s="21">
        <v>500</v>
      </c>
      <c r="D70" s="24" t="s">
        <v>324</v>
      </c>
    </row>
    <row r="71" spans="1:4" ht="16" x14ac:dyDescent="0.2">
      <c r="A71" s="27" t="s">
        <v>325</v>
      </c>
      <c r="B71" s="21">
        <v>1410</v>
      </c>
      <c r="C71" s="21">
        <v>1440</v>
      </c>
      <c r="D71" s="24" t="s">
        <v>326</v>
      </c>
    </row>
    <row r="72" spans="1:4" ht="16" x14ac:dyDescent="0.2">
      <c r="A72" s="27" t="s">
        <v>327</v>
      </c>
      <c r="B72" s="21">
        <v>1710</v>
      </c>
      <c r="C72" s="21">
        <v>1746</v>
      </c>
      <c r="D72" s="24" t="s">
        <v>328</v>
      </c>
    </row>
    <row r="73" spans="1:4" ht="16" x14ac:dyDescent="0.2">
      <c r="A73" s="27" t="s">
        <v>329</v>
      </c>
      <c r="B73" s="21">
        <v>294</v>
      </c>
      <c r="C73" s="21">
        <v>297</v>
      </c>
      <c r="D73" s="24" t="s">
        <v>324</v>
      </c>
    </row>
    <row r="74" spans="1:4" ht="16" x14ac:dyDescent="0.2">
      <c r="A74" s="27" t="s">
        <v>330</v>
      </c>
      <c r="B74" s="21">
        <v>495</v>
      </c>
      <c r="C74" s="24"/>
      <c r="D74" s="24" t="s">
        <v>331</v>
      </c>
    </row>
    <row r="75" spans="1:4" ht="16" x14ac:dyDescent="0.2">
      <c r="A75" s="27" t="s">
        <v>332</v>
      </c>
      <c r="B75" s="21">
        <v>930</v>
      </c>
      <c r="C75" s="21">
        <v>950</v>
      </c>
      <c r="D75" s="24" t="s">
        <v>333</v>
      </c>
    </row>
    <row r="76" spans="1:4" ht="16" x14ac:dyDescent="0.2">
      <c r="A76" s="27" t="s">
        <v>334</v>
      </c>
      <c r="B76" s="21">
        <v>1245</v>
      </c>
      <c r="C76" s="21">
        <v>1380</v>
      </c>
      <c r="D76" s="24" t="s">
        <v>335</v>
      </c>
    </row>
    <row r="77" spans="1:4" ht="16" x14ac:dyDescent="0.2">
      <c r="A77" s="27" t="s">
        <v>336</v>
      </c>
      <c r="B77" s="21">
        <v>1900</v>
      </c>
      <c r="C77" s="21">
        <v>1940</v>
      </c>
      <c r="D77" s="24" t="s">
        <v>337</v>
      </c>
    </row>
    <row r="78" spans="1:4" ht="16" x14ac:dyDescent="0.2">
      <c r="A78" s="27" t="s">
        <v>338</v>
      </c>
      <c r="B78" s="21">
        <v>321.75</v>
      </c>
      <c r="C78" s="24"/>
      <c r="D78" s="24" t="s">
        <v>339</v>
      </c>
    </row>
    <row r="79" spans="1:4" ht="16" x14ac:dyDescent="0.2">
      <c r="A79" s="27" t="s">
        <v>340</v>
      </c>
      <c r="B79" s="21">
        <v>1000</v>
      </c>
      <c r="C79" s="24"/>
      <c r="D79" s="24" t="s">
        <v>341</v>
      </c>
    </row>
    <row r="80" spans="1:4" ht="16" x14ac:dyDescent="0.2">
      <c r="A80" s="27" t="s">
        <v>342</v>
      </c>
      <c r="B80" s="21">
        <v>194</v>
      </c>
      <c r="C80" s="21">
        <v>198</v>
      </c>
      <c r="D80" s="24" t="s">
        <v>343</v>
      </c>
    </row>
    <row r="81" spans="1:4" ht="16" x14ac:dyDescent="0.2">
      <c r="A81" s="27" t="s">
        <v>344</v>
      </c>
      <c r="B81" s="21">
        <v>760</v>
      </c>
      <c r="C81" s="21">
        <v>850</v>
      </c>
      <c r="D81" s="24" t="s">
        <v>345</v>
      </c>
    </row>
    <row r="82" spans="1:4" ht="16" x14ac:dyDescent="0.2">
      <c r="A82" s="27" t="s">
        <v>346</v>
      </c>
      <c r="B82" s="24"/>
      <c r="C82" s="21">
        <v>1253.71</v>
      </c>
      <c r="D82" s="24" t="s">
        <v>347</v>
      </c>
    </row>
    <row r="83" spans="1:4" ht="16" x14ac:dyDescent="0.2">
      <c r="A83" s="27" t="s">
        <v>348</v>
      </c>
      <c r="B83" s="24"/>
      <c r="C83" s="21">
        <v>686</v>
      </c>
      <c r="D83" s="24" t="s">
        <v>349</v>
      </c>
    </row>
    <row r="84" spans="1:4" ht="16" x14ac:dyDescent="0.2">
      <c r="A84" s="27" t="s">
        <v>350</v>
      </c>
      <c r="B84" s="24"/>
      <c r="C84" s="21">
        <v>960</v>
      </c>
      <c r="D84" s="24" t="s">
        <v>349</v>
      </c>
    </row>
    <row r="85" spans="1:4" ht="16" x14ac:dyDescent="0.2">
      <c r="A85" s="27" t="s">
        <v>351</v>
      </c>
      <c r="B85" s="24"/>
      <c r="C85" s="21">
        <v>485</v>
      </c>
      <c r="D85" s="24" t="s">
        <v>349</v>
      </c>
    </row>
    <row r="86" spans="1:4" ht="16" x14ac:dyDescent="0.2">
      <c r="A86" s="27" t="s">
        <v>352</v>
      </c>
      <c r="B86" s="24"/>
      <c r="C86" s="21">
        <v>1500</v>
      </c>
      <c r="D86" s="24" t="s">
        <v>349</v>
      </c>
    </row>
    <row r="88" spans="1:4" x14ac:dyDescent="0.2">
      <c r="A88" s="15" t="s">
        <v>353</v>
      </c>
      <c r="B88" s="15"/>
      <c r="C88" s="15"/>
      <c r="D88" s="15"/>
    </row>
    <row r="89" spans="1:4" x14ac:dyDescent="0.2">
      <c r="A89" s="16" t="s">
        <v>354</v>
      </c>
      <c r="B89" s="17" t="s">
        <v>355</v>
      </c>
      <c r="C89" s="17" t="s">
        <v>356</v>
      </c>
      <c r="D89" s="17" t="s">
        <v>357</v>
      </c>
    </row>
    <row r="90" spans="1:4" ht="16" x14ac:dyDescent="0.2">
      <c r="A90" s="18" t="s">
        <v>358</v>
      </c>
      <c r="B90" s="19"/>
      <c r="C90" s="19"/>
      <c r="D90" s="19"/>
    </row>
    <row r="91" spans="1:4" ht="16" x14ac:dyDescent="0.2">
      <c r="A91" s="20" t="s">
        <v>359</v>
      </c>
      <c r="B91" s="21">
        <v>24077.43</v>
      </c>
      <c r="C91" s="21">
        <v>33559.919999999998</v>
      </c>
      <c r="D91" s="21">
        <v>57637.35</v>
      </c>
    </row>
    <row r="92" spans="1:4" ht="16" x14ac:dyDescent="0.2">
      <c r="A92" s="20" t="s">
        <v>360</v>
      </c>
      <c r="B92" s="24"/>
      <c r="C92" s="21">
        <v>7066.83</v>
      </c>
      <c r="D92" s="21">
        <v>7066.83</v>
      </c>
    </row>
    <row r="93" spans="1:4" ht="16" x14ac:dyDescent="0.2">
      <c r="A93" s="22" t="s">
        <v>361</v>
      </c>
      <c r="B93" s="23">
        <v>24077.43</v>
      </c>
      <c r="C93" s="23">
        <v>40626.75</v>
      </c>
      <c r="D93" s="23">
        <v>64704.18</v>
      </c>
    </row>
    <row r="94" spans="1:4" ht="16" x14ac:dyDescent="0.2">
      <c r="A94" s="18" t="s">
        <v>362</v>
      </c>
      <c r="B94" s="19"/>
      <c r="C94" s="19"/>
      <c r="D94" s="19"/>
    </row>
    <row r="95" spans="1:4" ht="16" x14ac:dyDescent="0.2">
      <c r="A95" s="20" t="s">
        <v>359</v>
      </c>
      <c r="B95" s="21">
        <v>18728.53</v>
      </c>
      <c r="C95" s="21">
        <v>33340.800000000003</v>
      </c>
      <c r="D95" s="21">
        <v>52069.33</v>
      </c>
    </row>
    <row r="96" spans="1:4" ht="16" x14ac:dyDescent="0.2">
      <c r="A96" s="20" t="s">
        <v>360</v>
      </c>
      <c r="B96" s="24"/>
      <c r="C96" s="21">
        <v>7612.09</v>
      </c>
      <c r="D96" s="21">
        <v>7612.09</v>
      </c>
    </row>
    <row r="97" spans="1:7" ht="16" x14ac:dyDescent="0.2">
      <c r="A97" s="22" t="s">
        <v>361</v>
      </c>
      <c r="B97" s="23">
        <v>18728.53</v>
      </c>
      <c r="C97" s="23">
        <v>40952.89</v>
      </c>
      <c r="D97" s="23">
        <v>59681.42</v>
      </c>
    </row>
    <row r="100" spans="1:7" x14ac:dyDescent="0.2">
      <c r="A100" s="15" t="s">
        <v>363</v>
      </c>
      <c r="B100" s="15"/>
      <c r="C100" s="15"/>
      <c r="D100" s="15"/>
      <c r="E100" s="15"/>
      <c r="F100" s="15"/>
      <c r="G100" s="15"/>
    </row>
    <row r="101" spans="1:7" x14ac:dyDescent="0.2">
      <c r="A101" s="16" t="s">
        <v>1</v>
      </c>
      <c r="B101" s="17" t="s">
        <v>2</v>
      </c>
      <c r="C101" s="17" t="s">
        <v>3</v>
      </c>
    </row>
    <row r="102" spans="1:7" ht="16" x14ac:dyDescent="0.2">
      <c r="A102" s="27" t="s">
        <v>364</v>
      </c>
      <c r="B102" s="21">
        <v>14039.18</v>
      </c>
      <c r="C102" s="21">
        <v>8643.1</v>
      </c>
    </row>
    <row r="103" spans="1:7" ht="16" x14ac:dyDescent="0.2">
      <c r="A103" s="27" t="s">
        <v>365</v>
      </c>
      <c r="B103" s="21">
        <v>5394.81</v>
      </c>
      <c r="C103" s="21">
        <v>4856</v>
      </c>
    </row>
    <row r="104" spans="1:7" ht="16" x14ac:dyDescent="0.2">
      <c r="A104" s="27" t="s">
        <v>366</v>
      </c>
      <c r="B104" s="21">
        <v>3956.5</v>
      </c>
      <c r="C104" s="21">
        <v>5929</v>
      </c>
    </row>
    <row r="105" spans="1:7" ht="16" x14ac:dyDescent="0.2">
      <c r="A105" s="27" t="s">
        <v>367</v>
      </c>
      <c r="B105" s="21">
        <v>9046.25</v>
      </c>
      <c r="C105" s="21">
        <v>3567</v>
      </c>
    </row>
    <row r="106" spans="1:7" ht="16" x14ac:dyDescent="0.2">
      <c r="A106" s="27" t="s">
        <v>368</v>
      </c>
      <c r="B106" s="21">
        <v>7523.22</v>
      </c>
      <c r="C106" s="21">
        <v>9063.25</v>
      </c>
    </row>
    <row r="107" spans="1:7" ht="16" x14ac:dyDescent="0.2">
      <c r="A107" s="27" t="s">
        <v>369</v>
      </c>
      <c r="B107" s="21">
        <v>24797.32</v>
      </c>
      <c r="C107" s="21">
        <v>27685.25</v>
      </c>
    </row>
    <row r="108" spans="1:7" ht="16" x14ac:dyDescent="0.2">
      <c r="A108" s="22" t="s">
        <v>67</v>
      </c>
      <c r="B108" s="23">
        <v>64757.279999999999</v>
      </c>
      <c r="C108" s="23">
        <v>59743.6</v>
      </c>
    </row>
    <row r="109" spans="1:7" ht="16" x14ac:dyDescent="0.2">
      <c r="A109" s="27" t="s">
        <v>370</v>
      </c>
      <c r="B109" s="21">
        <v>53.1</v>
      </c>
      <c r="C109" s="21">
        <v>62.18</v>
      </c>
    </row>
    <row r="110" spans="1:7" ht="16" x14ac:dyDescent="0.2">
      <c r="A110" s="22" t="s">
        <v>159</v>
      </c>
      <c r="B110" s="23">
        <v>64704.18</v>
      </c>
      <c r="C110" s="23">
        <v>59681.42</v>
      </c>
    </row>
    <row r="113" spans="1:7" x14ac:dyDescent="0.2">
      <c r="A113" s="15" t="s">
        <v>371</v>
      </c>
      <c r="B113" s="15"/>
      <c r="C113" s="15"/>
      <c r="D113" s="15"/>
      <c r="E113" s="15"/>
      <c r="F113" s="15"/>
      <c r="G113" s="15"/>
    </row>
    <row r="114" spans="1:7" x14ac:dyDescent="0.2">
      <c r="A114" s="16" t="s">
        <v>1</v>
      </c>
      <c r="B114" s="17" t="s">
        <v>2</v>
      </c>
      <c r="C114" s="17" t="s">
        <v>3</v>
      </c>
    </row>
    <row r="115" spans="1:7" ht="16" x14ac:dyDescent="0.2">
      <c r="A115" s="27" t="s">
        <v>372</v>
      </c>
      <c r="B115" s="21">
        <v>852.58</v>
      </c>
      <c r="C115" s="21">
        <v>1146.69</v>
      </c>
    </row>
    <row r="116" spans="1:7" ht="16" x14ac:dyDescent="0.2">
      <c r="A116" s="27" t="s">
        <v>373</v>
      </c>
      <c r="B116" s="21">
        <v>440.5</v>
      </c>
      <c r="C116" s="21">
        <v>465.94</v>
      </c>
    </row>
    <row r="117" spans="1:7" ht="16" x14ac:dyDescent="0.2">
      <c r="A117" s="27" t="s">
        <v>374</v>
      </c>
      <c r="B117" s="21">
        <v>130.69999999999999</v>
      </c>
      <c r="C117" s="21">
        <v>118.52</v>
      </c>
    </row>
    <row r="118" spans="1:7" ht="31" x14ac:dyDescent="0.2">
      <c r="A118" s="27" t="s">
        <v>375</v>
      </c>
      <c r="B118" s="21">
        <v>2023.26</v>
      </c>
      <c r="C118" s="21">
        <v>1695.31</v>
      </c>
    </row>
    <row r="119" spans="1:7" ht="16" x14ac:dyDescent="0.2">
      <c r="A119" s="27" t="s">
        <v>376</v>
      </c>
      <c r="B119" s="21">
        <v>6951.51</v>
      </c>
      <c r="C119" s="21">
        <v>7568.12</v>
      </c>
    </row>
    <row r="120" spans="1:7" ht="16" x14ac:dyDescent="0.2">
      <c r="A120" s="22" t="s">
        <v>377</v>
      </c>
      <c r="B120" s="23">
        <v>9545.9699999999993</v>
      </c>
      <c r="C120" s="23">
        <v>9847.89</v>
      </c>
    </row>
  </sheetData>
  <mergeCells count="9">
    <mergeCell ref="A100:G100"/>
    <mergeCell ref="A113:G113"/>
    <mergeCell ref="A26:G26"/>
    <mergeCell ref="A36:D36"/>
    <mergeCell ref="A88:D88"/>
    <mergeCell ref="A1:G1"/>
    <mergeCell ref="A2:G2"/>
    <mergeCell ref="A5:G5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tabSelected="1" zoomScaleNormal="100" workbookViewId="0">
      <selection activeCell="C19" sqref="C19"/>
    </sheetView>
  </sheetViews>
  <sheetFormatPr baseColWidth="10" defaultColWidth="8.6640625" defaultRowHeight="15" x14ac:dyDescent="0.2"/>
  <cols>
    <col min="1" max="1" width="45" customWidth="1"/>
    <col min="2" max="3" width="20" customWidth="1"/>
  </cols>
  <sheetData>
    <row r="1" spans="1:5" ht="17.25" customHeight="1" x14ac:dyDescent="0.2">
      <c r="A1" s="3" t="s">
        <v>398</v>
      </c>
      <c r="B1" s="3"/>
      <c r="C1" s="3"/>
      <c r="D1" s="3"/>
      <c r="E1" s="3"/>
    </row>
    <row r="2" spans="1:5" ht="15" customHeight="1" x14ac:dyDescent="0.2">
      <c r="A2" s="2" t="s">
        <v>141</v>
      </c>
      <c r="B2" s="2"/>
      <c r="C2" s="2"/>
      <c r="D2" s="2"/>
      <c r="E2" s="2"/>
    </row>
    <row r="5" spans="1:5" ht="15" customHeight="1" x14ac:dyDescent="0.2">
      <c r="A5" s="4" t="s">
        <v>1</v>
      </c>
      <c r="B5" s="5" t="s">
        <v>212</v>
      </c>
      <c r="C5" s="5" t="s">
        <v>213</v>
      </c>
    </row>
    <row r="6" spans="1:5" ht="15" customHeight="1" x14ac:dyDescent="0.2">
      <c r="A6" s="6" t="s">
        <v>378</v>
      </c>
      <c r="B6" s="8">
        <v>4917.07</v>
      </c>
      <c r="C6" s="8">
        <v>3765.51</v>
      </c>
    </row>
    <row r="7" spans="1:5" ht="15" customHeight="1" x14ac:dyDescent="0.2">
      <c r="A7" s="6" t="s">
        <v>82</v>
      </c>
      <c r="B7" s="8">
        <v>-164.54</v>
      </c>
      <c r="C7" s="7"/>
    </row>
    <row r="8" spans="1:5" ht="15" customHeight="1" x14ac:dyDescent="0.2">
      <c r="A8" s="6" t="s">
        <v>379</v>
      </c>
      <c r="B8" s="8">
        <v>535.44000000000005</v>
      </c>
      <c r="C8" s="8">
        <v>983.63</v>
      </c>
    </row>
    <row r="9" spans="1:5" ht="15" customHeight="1" x14ac:dyDescent="0.2">
      <c r="A9" s="9" t="s">
        <v>380</v>
      </c>
      <c r="B9" s="10">
        <v>5287.97</v>
      </c>
      <c r="C9" s="10">
        <v>4749.1400000000003</v>
      </c>
    </row>
    <row r="10" spans="1:5" ht="15" customHeight="1" x14ac:dyDescent="0.2">
      <c r="A10" s="9" t="s">
        <v>79</v>
      </c>
      <c r="B10" s="10">
        <v>21353.1</v>
      </c>
      <c r="C10" s="10">
        <v>18718.84</v>
      </c>
    </row>
    <row r="11" spans="1:5" ht="15" customHeight="1" x14ac:dyDescent="0.2">
      <c r="A11" s="6" t="s">
        <v>381</v>
      </c>
      <c r="B11" s="11">
        <f>B9/B10</f>
        <v>0.24764413598025584</v>
      </c>
      <c r="C11" s="11">
        <f>C9/C10</f>
        <v>0.25370909735859704</v>
      </c>
    </row>
    <row r="12" spans="1:5" ht="26.25" customHeight="1" x14ac:dyDescent="0.2">
      <c r="A12" s="6" t="s">
        <v>382</v>
      </c>
      <c r="B12" s="8">
        <v>9745</v>
      </c>
      <c r="C12" s="8">
        <v>9077.75</v>
      </c>
    </row>
    <row r="13" spans="1:5" ht="15" customHeight="1" x14ac:dyDescent="0.2">
      <c r="A13" s="6" t="s">
        <v>383</v>
      </c>
      <c r="B13" s="8">
        <v>3784.77</v>
      </c>
      <c r="C13" s="8">
        <v>3763.2</v>
      </c>
    </row>
    <row r="14" spans="1:5" ht="15" customHeight="1" x14ac:dyDescent="0.2">
      <c r="A14" s="6" t="s">
        <v>384</v>
      </c>
      <c r="B14" s="8">
        <v>1974.96</v>
      </c>
      <c r="C14" s="8">
        <v>1451.98</v>
      </c>
    </row>
    <row r="16" spans="1:5" ht="26.25" customHeight="1" x14ac:dyDescent="0.2">
      <c r="A16" s="6" t="s">
        <v>385</v>
      </c>
      <c r="B16" s="7" t="s">
        <v>399</v>
      </c>
      <c r="C16" s="7" t="s">
        <v>399</v>
      </c>
    </row>
    <row r="17" spans="1:3" ht="26.25" customHeight="1" x14ac:dyDescent="0.2">
      <c r="A17" s="6" t="s">
        <v>386</v>
      </c>
      <c r="B17" s="7" t="s">
        <v>399</v>
      </c>
      <c r="C17" s="7" t="s">
        <v>399</v>
      </c>
    </row>
    <row r="18" spans="1:3" ht="15" customHeight="1" x14ac:dyDescent="0.2">
      <c r="A18" s="6" t="s">
        <v>387</v>
      </c>
      <c r="B18" s="7" t="s">
        <v>399</v>
      </c>
      <c r="C18" s="7" t="s">
        <v>399</v>
      </c>
    </row>
    <row r="19" spans="1:3" ht="15" customHeight="1" x14ac:dyDescent="0.2">
      <c r="A19" s="6" t="s">
        <v>388</v>
      </c>
      <c r="B19" s="7" t="s">
        <v>399</v>
      </c>
      <c r="C19" s="7" t="s">
        <v>399</v>
      </c>
    </row>
    <row r="20" spans="1:3" ht="15" customHeight="1" x14ac:dyDescent="0.2">
      <c r="A20" s="6" t="s">
        <v>389</v>
      </c>
      <c r="B20" s="7" t="s">
        <v>399</v>
      </c>
      <c r="C20" s="7" t="s">
        <v>399</v>
      </c>
    </row>
    <row r="21" spans="1:3" ht="15" customHeight="1" x14ac:dyDescent="0.2">
      <c r="A21" s="6" t="s">
        <v>390</v>
      </c>
      <c r="B21" s="7" t="s">
        <v>399</v>
      </c>
      <c r="C21" s="7" t="s">
        <v>399</v>
      </c>
    </row>
    <row r="23" spans="1:3" ht="21.75" customHeight="1" x14ac:dyDescent="0.2">
      <c r="A23" s="29"/>
      <c r="B23" s="1"/>
      <c r="C23" s="1"/>
    </row>
  </sheetData>
  <mergeCells count="3">
    <mergeCell ref="A1:E1"/>
    <mergeCell ref="A2:E2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Balance Sheet</vt:lpstr>
      <vt:lpstr>P&amp;L Statement</vt:lpstr>
      <vt:lpstr>Cash Flow Statement</vt:lpstr>
      <vt:lpstr>Debtor Ageing</vt:lpstr>
      <vt:lpstr>Creditor Ageing</vt:lpstr>
      <vt:lpstr>Inventory</vt:lpstr>
      <vt:lpstr>Loan Schedules</vt:lpstr>
      <vt:lpstr>Tax Filings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Ayushi Gautam 2025PGP091</cp:lastModifiedBy>
  <cp:revision>0</cp:revision>
  <dcterms:created xsi:type="dcterms:W3CDTF">2026-08-28T10:06:17Z</dcterms:created>
  <dcterms:modified xsi:type="dcterms:W3CDTF">2026-08-28T10:27:41Z</dcterms:modified>
  <dc:language>en-US</dc:language>
</cp:coreProperties>
</file>